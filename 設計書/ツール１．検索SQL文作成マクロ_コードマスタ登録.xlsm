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810" yWindow="30" windowWidth="5130" windowHeight="8730" activeTab="1"/>
  </bookViews>
  <sheets>
    <sheet name="入力シート" sheetId="13" r:id="rId1"/>
    <sheet name="コードマスタ登録" sheetId="5" r:id="rId2"/>
  </sheets>
  <functionGroups/>
  <definedNames>
    <definedName name="_10DD9_">#REF!</definedName>
    <definedName name="_1DD1_">#REF!</definedName>
    <definedName name="_2DD10_">#REF!</definedName>
    <definedName name="_3DD2_">#REF!</definedName>
    <definedName name="_4DD3_">#REF!</definedName>
    <definedName name="_5DD4_">#REF!</definedName>
    <definedName name="_6DD5_">#REF!</definedName>
    <definedName name="_7DD6_">#REF!</definedName>
    <definedName name="_8DD7_">#REF!</definedName>
    <definedName name="_9DD8_">#REF!</definedName>
    <definedName name="_xlnm.Print_Area" localSheetId="0">入力シート!$A$1:$I$35</definedName>
    <definedName name="サイト名">#REF!</definedName>
    <definedName name="サイト名元">#REF!</definedName>
    <definedName name="サブシステム名">#REF!</definedName>
    <definedName name="サブシステム名元">#REF!</definedName>
    <definedName name="ドキュメント名元">#REF!</definedName>
    <definedName name="レビューフェーズ">#REF!</definedName>
    <definedName name="レビューフェーズ元">#REF!</definedName>
    <definedName name="レビュー参加者">#REF!</definedName>
    <definedName name="レビュー参加者元">#REF!</definedName>
    <definedName name="レビュー時間１">#REF!</definedName>
    <definedName name="レビュー時間２">#REF!</definedName>
    <definedName name="レビュー時間３">#REF!</definedName>
    <definedName name="レビュー時間元">#REF!</definedName>
    <definedName name="レビュー実施ページ数">#REF!</definedName>
    <definedName name="レビュー実施ページ数元">#REF!</definedName>
    <definedName name="レビュー実施日１">#REF!</definedName>
    <definedName name="レビュー実施日２">#REF!</definedName>
    <definedName name="レビュー実施日３">#REF!</definedName>
    <definedName name="レビュー実施日元">#REF!</definedName>
    <definedName name="レビュー責任者１">#REF!</definedName>
    <definedName name="レビュー責任者２">#REF!</definedName>
    <definedName name="レビュー責任者３">#REF!</definedName>
    <definedName name="レビュー責任者元">#REF!</definedName>
    <definedName name="レビュー対象範囲">#REF!</definedName>
    <definedName name="開発">#REF!</definedName>
    <definedName name="開発元">#REF!</definedName>
    <definedName name="最小ドキュメント名">#REF!</definedName>
    <definedName name="最小ドキュメント名元">#REF!</definedName>
    <definedName name="修正ページ数">#REF!</definedName>
    <definedName name="修正ページ数元">#REF!</definedName>
    <definedName name="修正概要">#REF!</definedName>
    <definedName name="新出来高ページ数">#REF!</definedName>
    <definedName name="新出来高ページ数元">#REF!</definedName>
    <definedName name="報告日">#REF!</definedName>
  </definedNames>
  <calcPr calcId="125725"/>
</workbook>
</file>

<file path=xl/calcChain.xml><?xml version="1.0" encoding="utf-8"?>
<calcChain xmlns="http://schemas.openxmlformats.org/spreadsheetml/2006/main">
  <c r="B6" i="5"/>
  <c r="H18" i="13"/>
  <c r="H17"/>
  <c r="H16"/>
  <c r="H14"/>
  <c r="H13"/>
  <c r="H12"/>
  <c r="H15"/>
  <c r="H11"/>
  <c r="G7"/>
</calcChain>
</file>

<file path=xl/sharedStrings.xml><?xml version="1.0" encoding="utf-8"?>
<sst xmlns="http://schemas.openxmlformats.org/spreadsheetml/2006/main" count="362" uniqueCount="168">
  <si>
    <t>テーブル名</t>
    <rPh sb="4" eb="5">
      <t>メイ</t>
    </rPh>
    <phoneticPr fontId="2"/>
  </si>
  <si>
    <t>ファイル名</t>
    <rPh sb="4" eb="5">
      <t>メイ</t>
    </rPh>
    <phoneticPr fontId="2"/>
  </si>
  <si>
    <t>削除キー</t>
    <rPh sb="0" eb="2">
      <t>サクジョ</t>
    </rPh>
    <phoneticPr fontId="2"/>
  </si>
  <si>
    <t>注意事項：行の挿入を行わないで下さい。マクロの動作を保証できません。</t>
    <rPh sb="0" eb="2">
      <t>チュウイ</t>
    </rPh>
    <rPh sb="2" eb="4">
      <t>ジコウ</t>
    </rPh>
    <rPh sb="5" eb="6">
      <t>ギョウ</t>
    </rPh>
    <rPh sb="7" eb="9">
      <t>ソウニュウ</t>
    </rPh>
    <rPh sb="10" eb="11">
      <t>オコナ</t>
    </rPh>
    <rPh sb="15" eb="16">
      <t>クダ</t>
    </rPh>
    <rPh sb="23" eb="25">
      <t>ドウサ</t>
    </rPh>
    <rPh sb="26" eb="28">
      <t>ホショウ</t>
    </rPh>
    <phoneticPr fontId="2"/>
  </si>
  <si>
    <t>対象フォルダ名</t>
    <rPh sb="0" eb="2">
      <t>タイショウ</t>
    </rPh>
    <rPh sb="6" eb="7">
      <t>メイ</t>
    </rPh>
    <phoneticPr fontId="2"/>
  </si>
  <si>
    <t>フォルダ名１</t>
    <rPh sb="4" eb="5">
      <t>メイ</t>
    </rPh>
    <phoneticPr fontId="2"/>
  </si>
  <si>
    <t>フォルダ名２</t>
    <rPh sb="4" eb="5">
      <t>メイ</t>
    </rPh>
    <phoneticPr fontId="2"/>
  </si>
  <si>
    <t>フォルダ名３</t>
    <rPh sb="4" eb="5">
      <t>メイ</t>
    </rPh>
    <phoneticPr fontId="2"/>
  </si>
  <si>
    <t>フォルダ名４</t>
    <rPh sb="4" eb="5">
      <t>メイ</t>
    </rPh>
    <phoneticPr fontId="2"/>
  </si>
  <si>
    <t>フォルダ名５</t>
    <rPh sb="4" eb="5">
      <t>メイ</t>
    </rPh>
    <phoneticPr fontId="2"/>
  </si>
  <si>
    <t>フォルダファイル内容</t>
  </si>
  <si>
    <t>変換キー</t>
    <rPh sb="0" eb="2">
      <t>ヘンカン</t>
    </rPh>
    <phoneticPr fontId="2"/>
  </si>
  <si>
    <t>検索条件</t>
    <rPh sb="0" eb="2">
      <t>ケンサク</t>
    </rPh>
    <rPh sb="2" eb="4">
      <t>ジョウケン</t>
    </rPh>
    <phoneticPr fontId="2"/>
  </si>
  <si>
    <t>順序条件</t>
    <rPh sb="0" eb="2">
      <t>ジュンジョ</t>
    </rPh>
    <rPh sb="2" eb="4">
      <t>ジョウケン</t>
    </rPh>
    <phoneticPr fontId="2"/>
  </si>
  <si>
    <t>変換対象</t>
    <rPh sb="0" eb="2">
      <t>ヘンカン</t>
    </rPh>
    <rPh sb="2" eb="4">
      <t>タイショウ</t>
    </rPh>
    <phoneticPr fontId="2"/>
  </si>
  <si>
    <t>変換後</t>
    <rPh sb="0" eb="2">
      <t>ヘンカン</t>
    </rPh>
    <rPh sb="2" eb="3">
      <t>ゴ</t>
    </rPh>
    <phoneticPr fontId="2"/>
  </si>
  <si>
    <t>APPNO</t>
    <phoneticPr fontId="2"/>
  </si>
  <si>
    <t>ORDER by APPNO</t>
    <phoneticPr fontId="2"/>
  </si>
  <si>
    <t>変換ルール（データ変換）</t>
    <rPh sb="0" eb="2">
      <t>ヘンカン</t>
    </rPh>
    <rPh sb="9" eb="11">
      <t>ヘンカン</t>
    </rPh>
    <phoneticPr fontId="2"/>
  </si>
  <si>
    <t>接続文字列</t>
    <rPh sb="0" eb="2">
      <t>セツゾク</t>
    </rPh>
    <rPh sb="2" eb="5">
      <t>モジレツ</t>
    </rPh>
    <phoneticPr fontId="2"/>
  </si>
  <si>
    <r>
      <t>SID/</t>
    </r>
    <r>
      <rPr>
        <sz val="11"/>
        <rFont val="ＭＳ Ｐゴシック"/>
        <family val="3"/>
        <charset val="128"/>
      </rPr>
      <t>PW</t>
    </r>
    <phoneticPr fontId="2"/>
  </si>
  <si>
    <r>
      <t>V</t>
    </r>
    <r>
      <rPr>
        <sz val="11"/>
        <rFont val="ＭＳ Ｐゴシック"/>
        <family val="3"/>
        <charset val="128"/>
      </rPr>
      <t>T01/VT01</t>
    </r>
    <phoneticPr fontId="2"/>
  </si>
  <si>
    <t>APPNO</t>
  </si>
  <si>
    <t>RCPNO</t>
  </si>
  <si>
    <r>
      <t>ZZZZZ0161400</t>
    </r>
    <r>
      <rPr>
        <sz val="11"/>
        <rFont val="ＭＳ Ｐゴシック"/>
        <family val="3"/>
        <charset val="128"/>
      </rPr>
      <t>7</t>
    </r>
    <phoneticPr fontId="2"/>
  </si>
  <si>
    <r>
      <t>ZZZZZ0161400</t>
    </r>
    <r>
      <rPr>
        <sz val="11"/>
        <rFont val="ＭＳ Ｐゴシック"/>
        <family val="3"/>
        <charset val="128"/>
      </rPr>
      <t>5</t>
    </r>
    <phoneticPr fontId="2"/>
  </si>
  <si>
    <r>
      <t>080200008</t>
    </r>
    <r>
      <rPr>
        <sz val="11"/>
        <rFont val="ＭＳ Ｐゴシック"/>
        <family val="3"/>
        <charset val="128"/>
      </rPr>
      <t>5</t>
    </r>
    <phoneticPr fontId="2"/>
  </si>
  <si>
    <t>普通</t>
    <rPh sb="0" eb="2">
      <t>フツウ</t>
    </rPh>
    <phoneticPr fontId="2"/>
  </si>
  <si>
    <t>ＭＡＸ</t>
    <phoneticPr fontId="2"/>
  </si>
  <si>
    <t>03</t>
  </si>
  <si>
    <t>02</t>
  </si>
  <si>
    <t>PREREVIEWRCPNO</t>
  </si>
  <si>
    <t>0802000087</t>
    <phoneticPr fontId="2"/>
  </si>
  <si>
    <r>
      <t>o</t>
    </r>
    <r>
      <rPr>
        <sz val="11"/>
        <rFont val="ＭＳ Ｐゴシック"/>
        <family val="3"/>
        <charset val="128"/>
      </rPr>
      <t>rcl_mortgage</t>
    </r>
    <phoneticPr fontId="2"/>
  </si>
  <si>
    <t>0802000174</t>
    <phoneticPr fontId="2"/>
  </si>
  <si>
    <t>0802000175</t>
    <phoneticPr fontId="2"/>
  </si>
  <si>
    <t>key</t>
    <phoneticPr fontId="2"/>
  </si>
  <si>
    <t>普通（位置変更不可）</t>
    <rPh sb="0" eb="2">
      <t>フツウ</t>
    </rPh>
    <rPh sb="3" eb="5">
      <t>イチ</t>
    </rPh>
    <rPh sb="5" eb="7">
      <t>ヘンコウ</t>
    </rPh>
    <rPh sb="7" eb="9">
      <t>フカ</t>
    </rPh>
    <phoneticPr fontId="2"/>
  </si>
  <si>
    <t>ＭＡＸ（位置変更不可）</t>
    <rPh sb="4" eb="6">
      <t>イチ</t>
    </rPh>
    <rPh sb="6" eb="8">
      <t>ヘンコウ</t>
    </rPh>
    <rPh sb="8" eb="10">
      <t>フカ</t>
    </rPh>
    <phoneticPr fontId="2"/>
  </si>
  <si>
    <t>6桁固定</t>
    <rPh sb="1" eb="2">
      <t>ケタ</t>
    </rPh>
    <rPh sb="2" eb="4">
      <t>コテイ</t>
    </rPh>
    <phoneticPr fontId="2"/>
  </si>
  <si>
    <t>ファイル名付加文字列</t>
    <rPh sb="4" eb="5">
      <t>メイ</t>
    </rPh>
    <rPh sb="5" eb="7">
      <t>フカ</t>
    </rPh>
    <rPh sb="7" eb="10">
      <t>モジレツ</t>
    </rPh>
    <phoneticPr fontId="2"/>
  </si>
  <si>
    <r>
      <t>1</t>
    </r>
    <r>
      <rPr>
        <sz val="11"/>
        <rFont val="ＭＳ Ｐゴシック"/>
        <family val="3"/>
        <charset val="128"/>
      </rPr>
      <t>614XX</t>
    </r>
    <phoneticPr fontId="2"/>
  </si>
  <si>
    <t>MC0101</t>
    <phoneticPr fontId="2"/>
  </si>
  <si>
    <t>アカウント種別</t>
    <rPh sb="5" eb="7">
      <t>シュベツ</t>
    </rPh>
    <phoneticPr fontId="2"/>
  </si>
  <si>
    <t>01</t>
    <phoneticPr fontId="2"/>
  </si>
  <si>
    <t>個人</t>
    <rPh sb="0" eb="2">
      <t>コジン</t>
    </rPh>
    <phoneticPr fontId="2"/>
  </si>
  <si>
    <t>法人</t>
    <rPh sb="0" eb="2">
      <t>ホウジン</t>
    </rPh>
    <phoneticPr fontId="2"/>
  </si>
  <si>
    <t>倉庫業者</t>
    <rPh sb="0" eb="2">
      <t>ソウコ</t>
    </rPh>
    <rPh sb="2" eb="4">
      <t>ギョウシャ</t>
    </rPh>
    <phoneticPr fontId="2"/>
  </si>
  <si>
    <t>04</t>
  </si>
  <si>
    <t>運送業者</t>
    <rPh sb="0" eb="2">
      <t>ウンソウ</t>
    </rPh>
    <rPh sb="2" eb="4">
      <t>ギョウシャ</t>
    </rPh>
    <phoneticPr fontId="2"/>
  </si>
  <si>
    <t>05</t>
  </si>
  <si>
    <t>連携システム</t>
    <rPh sb="0" eb="2">
      <t>レンケイ</t>
    </rPh>
    <phoneticPr fontId="2"/>
  </si>
  <si>
    <t>MC0102</t>
    <phoneticPr fontId="2"/>
  </si>
  <si>
    <t>アカウントステータス</t>
    <phoneticPr fontId="2"/>
  </si>
  <si>
    <t>パブリック</t>
    <phoneticPr fontId="2"/>
  </si>
  <si>
    <t>MC0102</t>
  </si>
  <si>
    <t>組織ステータス</t>
    <rPh sb="0" eb="2">
      <t>ソシキ</t>
    </rPh>
    <phoneticPr fontId="2"/>
  </si>
  <si>
    <t>組織種別</t>
    <rPh sb="0" eb="2">
      <t>ソシキ</t>
    </rPh>
    <rPh sb="2" eb="4">
      <t>シュベツ</t>
    </rPh>
    <phoneticPr fontId="2"/>
  </si>
  <si>
    <t>MC0202</t>
  </si>
  <si>
    <t>ロケーション種別</t>
    <rPh sb="6" eb="8">
      <t>シュベツ</t>
    </rPh>
    <phoneticPr fontId="2"/>
  </si>
  <si>
    <t>ボックス種別</t>
    <rPh sb="4" eb="6">
      <t>シュベツ</t>
    </rPh>
    <phoneticPr fontId="2"/>
  </si>
  <si>
    <t>ボックス状態１</t>
    <rPh sb="4" eb="6">
      <t>ジョウタイ</t>
    </rPh>
    <phoneticPr fontId="2"/>
  </si>
  <si>
    <t>未使用</t>
    <rPh sb="0" eb="3">
      <t>ミシヨウ</t>
    </rPh>
    <phoneticPr fontId="2"/>
  </si>
  <si>
    <t>使用中（空き有）</t>
    <rPh sb="0" eb="3">
      <t>シヨウチュウ</t>
    </rPh>
    <rPh sb="4" eb="5">
      <t>ア</t>
    </rPh>
    <rPh sb="6" eb="7">
      <t>アリ</t>
    </rPh>
    <phoneticPr fontId="2"/>
  </si>
  <si>
    <t>使用中（空き無）</t>
    <rPh sb="0" eb="3">
      <t>シヨウチュウ</t>
    </rPh>
    <rPh sb="4" eb="5">
      <t>ア</t>
    </rPh>
    <rPh sb="6" eb="7">
      <t>ナシ</t>
    </rPh>
    <phoneticPr fontId="2"/>
  </si>
  <si>
    <t>マテリアル種別１</t>
    <rPh sb="5" eb="7">
      <t>シュベツ</t>
    </rPh>
    <phoneticPr fontId="2"/>
  </si>
  <si>
    <t>マテリアル種別２</t>
    <rPh sb="5" eb="7">
      <t>シュベツ</t>
    </rPh>
    <phoneticPr fontId="2"/>
  </si>
  <si>
    <t>本</t>
    <rPh sb="0" eb="1">
      <t>ホン</t>
    </rPh>
    <phoneticPr fontId="2"/>
  </si>
  <si>
    <t>マテリアル状態２</t>
    <rPh sb="5" eb="7">
      <t>ジョウタイ</t>
    </rPh>
    <phoneticPr fontId="2"/>
  </si>
  <si>
    <t>通常</t>
    <rPh sb="0" eb="2">
      <t>ツウジョウ</t>
    </rPh>
    <phoneticPr fontId="2"/>
  </si>
  <si>
    <t>不良品</t>
    <rPh sb="0" eb="1">
      <t>フ</t>
    </rPh>
    <rPh sb="1" eb="3">
      <t>リョウヒン</t>
    </rPh>
    <phoneticPr fontId="2"/>
  </si>
  <si>
    <t>マテリアル状態３</t>
    <rPh sb="5" eb="7">
      <t>ジョウタイ</t>
    </rPh>
    <phoneticPr fontId="2"/>
  </si>
  <si>
    <t>配置済</t>
    <rPh sb="0" eb="2">
      <t>ハイチ</t>
    </rPh>
    <rPh sb="2" eb="3">
      <t>ズ</t>
    </rPh>
    <phoneticPr fontId="2"/>
  </si>
  <si>
    <t>移動中</t>
    <rPh sb="0" eb="3">
      <t>イドウチュウ</t>
    </rPh>
    <phoneticPr fontId="2"/>
  </si>
  <si>
    <t>作業中</t>
    <rPh sb="0" eb="3">
      <t>サギョウチュウ</t>
    </rPh>
    <phoneticPr fontId="2"/>
  </si>
  <si>
    <t>マテリアル状態４</t>
    <rPh sb="5" eb="7">
      <t>ジョウタイ</t>
    </rPh>
    <phoneticPr fontId="2"/>
  </si>
  <si>
    <t>提供可能</t>
    <rPh sb="0" eb="2">
      <t>テイキョウ</t>
    </rPh>
    <rPh sb="2" eb="4">
      <t>カノウ</t>
    </rPh>
    <phoneticPr fontId="2"/>
  </si>
  <si>
    <t>提供不可</t>
    <rPh sb="0" eb="2">
      <t>テイキョウ</t>
    </rPh>
    <rPh sb="2" eb="4">
      <t>フカ</t>
    </rPh>
    <phoneticPr fontId="2"/>
  </si>
  <si>
    <t>ポイント種別</t>
    <rPh sb="4" eb="6">
      <t>シュベツ</t>
    </rPh>
    <phoneticPr fontId="2"/>
  </si>
  <si>
    <t>契約状態</t>
    <rPh sb="0" eb="2">
      <t>ケイヤク</t>
    </rPh>
    <rPh sb="2" eb="4">
      <t>ジョウタイ</t>
    </rPh>
    <phoneticPr fontId="2"/>
  </si>
  <si>
    <t>未契約</t>
    <rPh sb="0" eb="3">
      <t>ミケイヤク</t>
    </rPh>
    <phoneticPr fontId="2"/>
  </si>
  <si>
    <t>契約中</t>
    <rPh sb="0" eb="3">
      <t>ケイヤクチュウ</t>
    </rPh>
    <phoneticPr fontId="2"/>
  </si>
  <si>
    <t>契約終了</t>
    <rPh sb="0" eb="2">
      <t>ケイヤク</t>
    </rPh>
    <rPh sb="2" eb="4">
      <t>シュウリョウ</t>
    </rPh>
    <phoneticPr fontId="2"/>
  </si>
  <si>
    <t>預かり種別</t>
    <rPh sb="0" eb="1">
      <t>アズ</t>
    </rPh>
    <rPh sb="3" eb="5">
      <t>シュベツ</t>
    </rPh>
    <phoneticPr fontId="2"/>
  </si>
  <si>
    <t>延長無（破棄）</t>
    <rPh sb="0" eb="2">
      <t>エンチョウ</t>
    </rPh>
    <rPh sb="2" eb="3">
      <t>ナシ</t>
    </rPh>
    <rPh sb="4" eb="6">
      <t>ハキ</t>
    </rPh>
    <phoneticPr fontId="2"/>
  </si>
  <si>
    <t>延長有（自動延長）</t>
    <rPh sb="0" eb="2">
      <t>エンチョウ</t>
    </rPh>
    <rPh sb="2" eb="3">
      <t>アリ</t>
    </rPh>
    <rPh sb="4" eb="6">
      <t>ジドウ</t>
    </rPh>
    <rPh sb="6" eb="8">
      <t>エンチョウ</t>
    </rPh>
    <phoneticPr fontId="2"/>
  </si>
  <si>
    <t>性別</t>
    <rPh sb="0" eb="2">
      <t>セイベツ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</si>
  <si>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</si>
  <si>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</si>
  <si>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その他</t>
    <rPh sb="2" eb="3">
      <t>タ</t>
    </rPh>
    <phoneticPr fontId="2"/>
  </si>
  <si>
    <t>可／否</t>
    <rPh sb="0" eb="1">
      <t>カ</t>
    </rPh>
    <rPh sb="2" eb="3">
      <t>ヒ</t>
    </rPh>
    <phoneticPr fontId="2"/>
  </si>
  <si>
    <t>否</t>
    <rPh sb="0" eb="1">
      <t>ヒ</t>
    </rPh>
    <phoneticPr fontId="2"/>
  </si>
  <si>
    <t>可</t>
    <rPh sb="0" eb="1">
      <t>カ</t>
    </rPh>
    <phoneticPr fontId="2"/>
  </si>
  <si>
    <t>MC9002</t>
    <phoneticPr fontId="2"/>
  </si>
  <si>
    <t>要／不要</t>
    <rPh sb="0" eb="1">
      <t>ヨウ</t>
    </rPh>
    <rPh sb="2" eb="4">
      <t>フヨウ</t>
    </rPh>
    <phoneticPr fontId="2"/>
  </si>
  <si>
    <t>不要</t>
    <rPh sb="0" eb="2">
      <t>フヨウ</t>
    </rPh>
    <phoneticPr fontId="2"/>
  </si>
  <si>
    <t>必要</t>
    <rPh sb="0" eb="2">
      <t>ヒツヨウ</t>
    </rPh>
    <phoneticPr fontId="2"/>
  </si>
  <si>
    <t>MC9003</t>
    <phoneticPr fontId="2"/>
  </si>
  <si>
    <t>あり／なし</t>
    <phoneticPr fontId="2"/>
  </si>
  <si>
    <t>なし</t>
    <phoneticPr fontId="2"/>
  </si>
  <si>
    <t>02</t>
    <phoneticPr fontId="2"/>
  </si>
  <si>
    <t>プライベート</t>
    <phoneticPr fontId="2"/>
  </si>
  <si>
    <t>MC0201</t>
    <phoneticPr fontId="2"/>
  </si>
  <si>
    <t>MC0202</t>
    <phoneticPr fontId="2"/>
  </si>
  <si>
    <t>MC0301</t>
    <phoneticPr fontId="2"/>
  </si>
  <si>
    <t>MC0401</t>
    <phoneticPr fontId="2"/>
  </si>
  <si>
    <t>MC0501</t>
    <phoneticPr fontId="2"/>
  </si>
  <si>
    <t>MC0601</t>
    <phoneticPr fontId="2"/>
  </si>
  <si>
    <t>MC0602</t>
    <phoneticPr fontId="2"/>
  </si>
  <si>
    <t>CD</t>
    <phoneticPr fontId="2"/>
  </si>
  <si>
    <t>03</t>
    <phoneticPr fontId="2"/>
  </si>
  <si>
    <t>DVD</t>
    <phoneticPr fontId="2"/>
  </si>
  <si>
    <t>90</t>
    <phoneticPr fontId="2"/>
  </si>
  <si>
    <t>その他</t>
    <phoneticPr fontId="2"/>
  </si>
  <si>
    <t>MC0702</t>
    <phoneticPr fontId="2"/>
  </si>
  <si>
    <t>その他（すべて）</t>
    <phoneticPr fontId="2"/>
  </si>
  <si>
    <t>MC0703</t>
    <phoneticPr fontId="2"/>
  </si>
  <si>
    <t>MC0704</t>
    <phoneticPr fontId="2"/>
  </si>
  <si>
    <t>MC0801</t>
    <phoneticPr fontId="2"/>
  </si>
  <si>
    <t>キャッシュポイント</t>
    <phoneticPr fontId="2"/>
  </si>
  <si>
    <t>トレードポイント</t>
    <phoneticPr fontId="2"/>
  </si>
  <si>
    <t>MC0901</t>
    <phoneticPr fontId="2"/>
  </si>
  <si>
    <t>MC1001</t>
    <phoneticPr fontId="2"/>
  </si>
  <si>
    <t>MC1101</t>
    <phoneticPr fontId="2"/>
  </si>
  <si>
    <t>1</t>
    <phoneticPr fontId="2"/>
  </si>
  <si>
    <t>2</t>
    <phoneticPr fontId="2"/>
  </si>
  <si>
    <t>3</t>
    <phoneticPr fontId="2"/>
  </si>
  <si>
    <t>コード種別</t>
    <rPh sb="3" eb="5">
      <t>シュベツ</t>
    </rPh>
    <phoneticPr fontId="1"/>
  </si>
  <si>
    <t>コード種別名</t>
    <rPh sb="3" eb="5">
      <t>シュベツ</t>
    </rPh>
    <phoneticPr fontId="1"/>
  </si>
  <si>
    <t>表示順</t>
  </si>
  <si>
    <t>コードID</t>
  </si>
  <si>
    <t>コード名称</t>
  </si>
  <si>
    <t>コード名略称</t>
    <rPh sb="3" eb="4">
      <t>メイ</t>
    </rPh>
    <rPh sb="4" eb="6">
      <t>リャクショウ</t>
    </rPh>
    <phoneticPr fontId="1"/>
  </si>
  <si>
    <t>文字列1</t>
  </si>
  <si>
    <t>文字列2</t>
  </si>
  <si>
    <t>文字列3</t>
  </si>
  <si>
    <t>値1</t>
  </si>
  <si>
    <t>値2</t>
  </si>
  <si>
    <t>値3</t>
  </si>
  <si>
    <t>備考</t>
  </si>
  <si>
    <t>code_kind</t>
  </si>
  <si>
    <t>code_kind_nm</t>
  </si>
  <si>
    <t>display_no</t>
  </si>
  <si>
    <t>code_id</t>
  </si>
  <si>
    <t>code_nm</t>
  </si>
  <si>
    <t>code_nmr</t>
  </si>
  <si>
    <t>text1</t>
  </si>
  <si>
    <t>text2</t>
  </si>
  <si>
    <t>text3</t>
  </si>
  <si>
    <t>value1</t>
  </si>
  <si>
    <t>value2</t>
  </si>
  <si>
    <t>value3</t>
  </si>
  <si>
    <t>note</t>
  </si>
  <si>
    <t>コードマスタ登録</t>
    <rPh sb="6" eb="8">
      <t>トウロク</t>
    </rPh>
    <phoneticPr fontId="2"/>
  </si>
  <si>
    <r>
      <t>m</t>
    </r>
    <r>
      <rPr>
        <sz val="11"/>
        <rFont val="ＭＳ Ｐゴシック"/>
        <family val="3"/>
        <charset val="128"/>
      </rPr>
      <t>tcddb.</t>
    </r>
    <r>
      <rPr>
        <sz val="11"/>
        <rFont val="ＭＳ Ｐゴシック"/>
        <family val="3"/>
        <charset val="128"/>
      </rPr>
      <t>m_code</t>
    </r>
    <phoneticPr fontId="2"/>
  </si>
  <si>
    <t>MCPA001</t>
  </si>
  <si>
    <t>性別</t>
  </si>
  <si>
    <t>男</t>
  </si>
  <si>
    <t>女</t>
  </si>
  <si>
    <t>MCPA002</t>
  </si>
  <si>
    <t>アカウント種別</t>
  </si>
  <si>
    <t>個人1</t>
  </si>
  <si>
    <t>法人</t>
  </si>
  <si>
    <t>倉庫業者</t>
  </si>
  <si>
    <t>運送業者</t>
  </si>
  <si>
    <t>連携システム</t>
  </si>
  <si>
    <t>連携</t>
  </si>
  <si>
    <t>MC9001</t>
    <phoneticPr fontId="2"/>
  </si>
</sst>
</file>

<file path=xl/styles.xml><?xml version="1.0" encoding="utf-8"?>
<styleSheet xmlns="http://schemas.openxmlformats.org/spreadsheetml/2006/main">
  <fonts count="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MeiryoKe_Gothic"/>
      <family val="3"/>
      <charset val="128"/>
    </font>
    <font>
      <sz val="10"/>
      <name val="ＭＳ ゴシック"/>
      <family val="3"/>
      <charset val="128"/>
    </font>
    <font>
      <sz val="10"/>
      <color indexed="9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9" fontId="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</cellStyleXfs>
  <cellXfs count="34">
    <xf numFmtId="0" fontId="0" fillId="0" borderId="0" xfId="0"/>
    <xf numFmtId="49" fontId="1" fillId="0" borderId="0" xfId="3" applyNumberFormat="1">
      <alignment vertical="center"/>
    </xf>
    <xf numFmtId="49" fontId="1" fillId="0" borderId="0" xfId="3" applyNumberFormat="1" applyFont="1">
      <alignment vertical="center"/>
    </xf>
    <xf numFmtId="0" fontId="3" fillId="0" borderId="0" xfId="4" applyFont="1" applyAlignment="1">
      <alignment vertical="center"/>
    </xf>
    <xf numFmtId="0" fontId="4" fillId="0" borderId="1" xfId="4" applyFont="1" applyBorder="1" applyAlignment="1">
      <alignment vertical="center"/>
    </xf>
    <xf numFmtId="0" fontId="4" fillId="0" borderId="0" xfId="4" applyFont="1" applyAlignment="1">
      <alignment horizontal="center" vertical="center"/>
    </xf>
    <xf numFmtId="0" fontId="4" fillId="0" borderId="0" xfId="4" applyFont="1" applyAlignment="1">
      <alignment vertical="center"/>
    </xf>
    <xf numFmtId="0" fontId="5" fillId="0" borderId="0" xfId="4" applyFont="1" applyBorder="1" applyAlignment="1">
      <alignment horizontal="left" vertical="center" wrapText="1"/>
    </xf>
    <xf numFmtId="0" fontId="0" fillId="0" borderId="0" xfId="0" applyAlignment="1">
      <alignment vertical="center" wrapText="1" shrinkToFit="1"/>
    </xf>
    <xf numFmtId="49" fontId="1" fillId="0" borderId="0" xfId="2" applyNumberFormat="1">
      <alignment vertical="center"/>
    </xf>
    <xf numFmtId="49" fontId="1" fillId="0" borderId="0" xfId="2" applyNumberFormat="1" applyFont="1">
      <alignment vertical="center"/>
    </xf>
    <xf numFmtId="49" fontId="1" fillId="2" borderId="1" xfId="2" applyNumberFormat="1" applyFill="1" applyBorder="1">
      <alignment vertical="center"/>
    </xf>
    <xf numFmtId="49" fontId="1" fillId="3" borderId="1" xfId="2" applyNumberFormat="1" applyFont="1" applyFill="1" applyBorder="1">
      <alignment vertical="center"/>
    </xf>
    <xf numFmtId="0" fontId="1" fillId="3" borderId="1" xfId="2" applyNumberFormat="1" applyFont="1" applyFill="1" applyBorder="1">
      <alignment vertical="center"/>
    </xf>
    <xf numFmtId="49" fontId="1" fillId="3" borderId="0" xfId="2" applyNumberFormat="1" applyFill="1">
      <alignment vertical="center"/>
    </xf>
    <xf numFmtId="49" fontId="1" fillId="3" borderId="0" xfId="2" applyNumberFormat="1" applyFont="1" applyFill="1">
      <alignment vertical="center"/>
    </xf>
    <xf numFmtId="49" fontId="1" fillId="3" borderId="0" xfId="2" applyNumberFormat="1" applyFont="1" applyFill="1" applyAlignment="1">
      <alignment horizontal="right" vertical="center"/>
    </xf>
    <xf numFmtId="49" fontId="1" fillId="3" borderId="1" xfId="2" applyNumberFormat="1" applyFill="1" applyBorder="1">
      <alignment vertical="center"/>
    </xf>
    <xf numFmtId="0" fontId="0" fillId="3" borderId="1" xfId="2" applyNumberFormat="1" applyFont="1" applyFill="1" applyBorder="1">
      <alignment vertical="center"/>
    </xf>
    <xf numFmtId="0" fontId="4" fillId="3" borderId="1" xfId="4" applyFont="1" applyFill="1" applyBorder="1" applyAlignment="1">
      <alignment vertical="center"/>
    </xf>
    <xf numFmtId="49" fontId="4" fillId="3" borderId="1" xfId="4" applyNumberFormat="1" applyFont="1" applyFill="1" applyBorder="1" applyAlignment="1">
      <alignment vertical="center" wrapText="1"/>
    </xf>
    <xf numFmtId="0" fontId="4" fillId="3" borderId="1" xfId="4" applyNumberFormat="1" applyFont="1" applyFill="1" applyBorder="1" applyAlignment="1">
      <alignment vertical="center"/>
    </xf>
    <xf numFmtId="49" fontId="4" fillId="3" borderId="1" xfId="4" applyNumberFormat="1" applyFont="1" applyFill="1" applyBorder="1" applyAlignment="1">
      <alignment vertical="center"/>
    </xf>
    <xf numFmtId="0" fontId="7" fillId="0" borderId="1" xfId="5" applyFont="1" applyFill="1" applyBorder="1" applyAlignment="1">
      <alignment horizontal="left" vertical="top"/>
    </xf>
    <xf numFmtId="0" fontId="7" fillId="0" borderId="1" xfId="5" applyFont="1" applyBorder="1" applyAlignment="1">
      <alignment horizontal="left" vertical="top"/>
    </xf>
    <xf numFmtId="0" fontId="4" fillId="3" borderId="2" xfId="4" applyFont="1" applyFill="1" applyBorder="1" applyAlignment="1">
      <alignment vertical="center"/>
    </xf>
    <xf numFmtId="49" fontId="1" fillId="0" borderId="1" xfId="3" applyNumberFormat="1" applyFont="1" applyBorder="1" applyAlignment="1">
      <alignment horizontal="left" vertical="top"/>
    </xf>
    <xf numFmtId="49" fontId="1" fillId="0" borderId="1" xfId="3" applyNumberFormat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6" fillId="0" borderId="1" xfId="0" applyFont="1" applyFill="1" applyBorder="1" applyAlignment="1">
      <alignment horizontal="left" vertical="top"/>
    </xf>
    <xf numFmtId="49" fontId="7" fillId="0" borderId="1" xfId="5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3" applyNumberFormat="1" applyFont="1" applyBorder="1">
      <alignment vertical="center"/>
    </xf>
    <xf numFmtId="49" fontId="0" fillId="0" borderId="1" xfId="3" applyNumberFormat="1" applyFont="1" applyBorder="1">
      <alignment vertical="center"/>
    </xf>
  </cellXfs>
  <cellStyles count="6">
    <cellStyle name="QMSDDATA" xfId="1"/>
    <cellStyle name="標準" xfId="0" builtinId="0"/>
    <cellStyle name="標準_06-03.ローン比較シミュレーション結果" xfId="5"/>
    <cellStyle name="標準_ツール２．１．設計書変換ツール" xfId="2"/>
    <cellStyle name="標準_テストデータ" xfId="3"/>
    <cellStyle name="標準_外部ＩＦファイル生成ツール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B2:I30"/>
  <sheetViews>
    <sheetView zoomScaleNormal="100" zoomScaleSheetLayoutView="100" workbookViewId="0">
      <selection activeCell="E25" sqref="E24:E25"/>
    </sheetView>
  </sheetViews>
  <sheetFormatPr defaultRowHeight="13.5"/>
  <cols>
    <col min="1" max="1" width="2.625" style="9" customWidth="1"/>
    <col min="2" max="2" width="11.25" style="9" bestFit="1" customWidth="1"/>
    <col min="3" max="3" width="28.25" style="9" customWidth="1"/>
    <col min="4" max="4" width="9" style="9"/>
    <col min="5" max="5" width="13" style="9" customWidth="1"/>
    <col min="6" max="8" width="18.25" style="9" customWidth="1"/>
    <col min="9" max="16384" width="9" style="9"/>
  </cols>
  <sheetData>
    <row r="2" spans="2:9">
      <c r="B2" s="9" t="s">
        <v>3</v>
      </c>
    </row>
    <row r="4" spans="2:9">
      <c r="E4" s="14"/>
      <c r="F4" s="12" t="s">
        <v>19</v>
      </c>
      <c r="G4" s="12" t="s">
        <v>33</v>
      </c>
      <c r="H4" s="14"/>
    </row>
    <row r="5" spans="2:9">
      <c r="E5" s="14"/>
      <c r="F5" s="12" t="s">
        <v>20</v>
      </c>
      <c r="G5" s="12" t="s">
        <v>21</v>
      </c>
      <c r="H5" s="14"/>
    </row>
    <row r="6" spans="2:9">
      <c r="E6" s="14"/>
      <c r="F6" s="12" t="s">
        <v>36</v>
      </c>
      <c r="G6" s="12" t="s">
        <v>41</v>
      </c>
      <c r="H6" s="15" t="s">
        <v>39</v>
      </c>
    </row>
    <row r="7" spans="2:9">
      <c r="E7" s="14"/>
      <c r="F7" s="12" t="s">
        <v>40</v>
      </c>
      <c r="G7" s="13" t="str">
        <f>MID(G6,2,1) &amp; "_" &amp; MID(G6,3,2) &amp; "_" &amp; MID(G6,5,2) &amp; "_" &amp;MID(MyTHISBookName(),28,100)</f>
        <v>6_14_XX_</v>
      </c>
      <c r="H7" s="14"/>
    </row>
    <row r="8" spans="2:9">
      <c r="E8" s="14"/>
      <c r="F8" s="14"/>
      <c r="G8" s="15"/>
      <c r="H8" s="14"/>
    </row>
    <row r="9" spans="2:9">
      <c r="E9" s="14"/>
      <c r="F9" s="15" t="s">
        <v>18</v>
      </c>
      <c r="G9" s="14"/>
      <c r="H9" s="14"/>
    </row>
    <row r="10" spans="2:9">
      <c r="B10" s="9" t="s">
        <v>4</v>
      </c>
      <c r="E10" s="14"/>
      <c r="F10" s="15" t="s">
        <v>11</v>
      </c>
      <c r="G10" s="15" t="s">
        <v>14</v>
      </c>
      <c r="H10" s="15" t="s">
        <v>15</v>
      </c>
    </row>
    <row r="11" spans="2:9">
      <c r="B11" s="11" t="s">
        <v>5</v>
      </c>
      <c r="C11" s="11"/>
      <c r="E11" s="16" t="s">
        <v>37</v>
      </c>
      <c r="F11" s="12" t="s">
        <v>22</v>
      </c>
      <c r="G11" s="12" t="s">
        <v>25</v>
      </c>
      <c r="H11" s="13" t="str">
        <f>CONCATENATE("ZZZZZ0",$G$6,1)</f>
        <v>ZZZZZ01614XX1</v>
      </c>
      <c r="I11" s="10"/>
    </row>
    <row r="12" spans="2:9">
      <c r="B12" s="11" t="s">
        <v>6</v>
      </c>
      <c r="C12" s="11"/>
      <c r="E12" s="16" t="s">
        <v>27</v>
      </c>
      <c r="F12" s="17" t="s">
        <v>23</v>
      </c>
      <c r="G12" s="12" t="s">
        <v>32</v>
      </c>
      <c r="H12" s="18" t="str">
        <f>CONCATENATE("0",$G$6,"001")</f>
        <v>01614XX001</v>
      </c>
    </row>
    <row r="13" spans="2:9">
      <c r="B13" s="11" t="s">
        <v>7</v>
      </c>
      <c r="C13" s="11"/>
      <c r="E13" s="16" t="s">
        <v>27</v>
      </c>
      <c r="F13" s="12" t="s">
        <v>31</v>
      </c>
      <c r="G13" s="12" t="s">
        <v>32</v>
      </c>
      <c r="H13" s="18" t="str">
        <f>CONCATENATE("0",$G$6,"001")</f>
        <v>01614XX001</v>
      </c>
    </row>
    <row r="14" spans="2:9">
      <c r="B14" s="11" t="s">
        <v>8</v>
      </c>
      <c r="C14" s="11"/>
      <c r="E14" s="16" t="s">
        <v>27</v>
      </c>
      <c r="F14" s="17" t="s">
        <v>23</v>
      </c>
      <c r="G14" s="12" t="s">
        <v>35</v>
      </c>
      <c r="H14" s="18" t="str">
        <f>CONCATENATE("0",$G$6,"002")</f>
        <v>01614XX002</v>
      </c>
    </row>
    <row r="15" spans="2:9">
      <c r="B15" s="11" t="s">
        <v>9</v>
      </c>
      <c r="C15" s="11"/>
      <c r="E15" s="16" t="s">
        <v>38</v>
      </c>
      <c r="F15" s="12" t="s">
        <v>22</v>
      </c>
      <c r="G15" s="12" t="s">
        <v>24</v>
      </c>
      <c r="H15" s="18" t="str">
        <f>CONCATENATE("ZZZZZ0",$G$6,3)</f>
        <v>ZZZZZ01614XX3</v>
      </c>
    </row>
    <row r="16" spans="2:9">
      <c r="E16" s="16" t="s">
        <v>28</v>
      </c>
      <c r="F16" s="17" t="s">
        <v>23</v>
      </c>
      <c r="G16" s="12" t="s">
        <v>26</v>
      </c>
      <c r="H16" s="18" t="str">
        <f>CONCATENATE("0",$G$6,"003")</f>
        <v>01614XX003</v>
      </c>
    </row>
    <row r="17" spans="2:8">
      <c r="E17" s="16" t="s">
        <v>28</v>
      </c>
      <c r="F17" s="12" t="s">
        <v>31</v>
      </c>
      <c r="G17" s="12" t="s">
        <v>26</v>
      </c>
      <c r="H17" s="18" t="str">
        <f>CONCATENATE("0",$G$6,"003")</f>
        <v>01614XX003</v>
      </c>
    </row>
    <row r="18" spans="2:8">
      <c r="E18" s="16" t="s">
        <v>28</v>
      </c>
      <c r="F18" s="17" t="s">
        <v>23</v>
      </c>
      <c r="G18" s="12" t="s">
        <v>34</v>
      </c>
      <c r="H18" s="18" t="str">
        <f>CONCATENATE("0",$G$6,"004")</f>
        <v>01614XX004</v>
      </c>
    </row>
    <row r="20" spans="2:8">
      <c r="B20" s="9" t="s">
        <v>10</v>
      </c>
      <c r="F20"/>
    </row>
    <row r="21" spans="2:8">
      <c r="B21" s="11">
        <v>1</v>
      </c>
      <c r="C21" s="11"/>
      <c r="F21"/>
    </row>
    <row r="22" spans="2:8">
      <c r="B22" s="11">
        <v>2</v>
      </c>
      <c r="C22" s="11"/>
    </row>
    <row r="23" spans="2:8">
      <c r="B23" s="11">
        <v>3</v>
      </c>
      <c r="C23" s="11"/>
    </row>
    <row r="24" spans="2:8">
      <c r="B24" s="11">
        <v>4</v>
      </c>
      <c r="C24" s="11"/>
    </row>
    <row r="25" spans="2:8">
      <c r="B25" s="11">
        <v>5</v>
      </c>
      <c r="C25" s="11"/>
    </row>
    <row r="26" spans="2:8">
      <c r="B26" s="11">
        <v>6</v>
      </c>
      <c r="C26" s="11"/>
    </row>
    <row r="27" spans="2:8">
      <c r="B27" s="11">
        <v>7</v>
      </c>
      <c r="C27" s="11"/>
    </row>
    <row r="28" spans="2:8">
      <c r="B28" s="11">
        <v>8</v>
      </c>
      <c r="C28" s="11"/>
      <c r="F28" s="10"/>
    </row>
    <row r="29" spans="2:8">
      <c r="B29" s="11">
        <v>9</v>
      </c>
      <c r="C29" s="11"/>
    </row>
    <row r="30" spans="2:8">
      <c r="B30" s="11">
        <v>10</v>
      </c>
      <c r="C30" s="11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landscape" copies="0" r:id="rId1"/>
  <headerFooter alignWithMargins="0"/>
  <legacyDrawing r:id="rId2"/>
  <controls>
    <control shapeId="12289" r:id="rId3" name="BtnMakeInsertSql"/>
    <control shapeId="12290" r:id="rId4" name="BtnClearFolder"/>
    <control shapeId="12291" r:id="rId5" name="BtnClearFile"/>
    <control shapeId="12292" r:id="rId6" name="BtnPrintTargetFolder"/>
    <control shapeId="12293" r:id="rId7" name="BtnMakeTarget"/>
    <control shapeId="12295" r:id="rId8" name="BtnMakeDeleteSql"/>
    <control shapeId="12296" r:id="rId9" name="BtnSelectDB"/>
    <control shapeId="12297" r:id="rId10" name="BtnChangeDB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BI71"/>
  <sheetViews>
    <sheetView tabSelected="1" topLeftCell="A9" workbookViewId="0">
      <selection activeCell="E17" sqref="E17"/>
    </sheetView>
  </sheetViews>
  <sheetFormatPr defaultColWidth="14.375" defaultRowHeight="13.5"/>
  <cols>
    <col min="1" max="2" width="15" style="1" bestFit="1" customWidth="1"/>
    <col min="3" max="3" width="9.25" style="1" bestFit="1" customWidth="1"/>
    <col min="4" max="4" width="7.875" style="1" bestFit="1" customWidth="1"/>
    <col min="5" max="5" width="15.5" style="1" bestFit="1" customWidth="1"/>
    <col min="6" max="6" width="11.875" style="1" bestFit="1" customWidth="1"/>
    <col min="7" max="9" width="8.125" style="1" bestFit="1" customWidth="1"/>
    <col min="10" max="12" width="6.625" style="1" bestFit="1" customWidth="1"/>
    <col min="13" max="13" width="5.25" style="1" bestFit="1" customWidth="1"/>
    <col min="14" max="14" width="11.875" style="1" bestFit="1" customWidth="1"/>
    <col min="15" max="15" width="17.125" style="1" bestFit="1" customWidth="1"/>
    <col min="16" max="16" width="10.875" style="1" bestFit="1" customWidth="1"/>
    <col min="17" max="17" width="9.25" style="1" bestFit="1" customWidth="1"/>
    <col min="18" max="18" width="7.375" style="1" bestFit="1" customWidth="1"/>
    <col min="19" max="19" width="30.5" style="1" bestFit="1" customWidth="1"/>
    <col min="20" max="20" width="47.625" style="1" bestFit="1" customWidth="1"/>
    <col min="21" max="21" width="30.5" style="1" bestFit="1" customWidth="1"/>
    <col min="22" max="22" width="47.625" style="1" bestFit="1" customWidth="1"/>
    <col min="23" max="23" width="9.625" style="1" bestFit="1" customWidth="1"/>
    <col min="24" max="24" width="63" style="1" bestFit="1" customWidth="1"/>
    <col min="25" max="25" width="95.25" style="1" bestFit="1" customWidth="1"/>
    <col min="26" max="26" width="17.25" style="1" bestFit="1" customWidth="1"/>
    <col min="27" max="27" width="14.25" style="1" bestFit="1" customWidth="1"/>
    <col min="28" max="28" width="9" style="1" bestFit="1" customWidth="1"/>
    <col min="29" max="29" width="7.25" style="1" bestFit="1" customWidth="1"/>
    <col min="30" max="30" width="6.75" style="1" bestFit="1" customWidth="1"/>
    <col min="31" max="31" width="8.75" style="1" bestFit="1" customWidth="1"/>
    <col min="32" max="32" width="8.25" style="1" bestFit="1" customWidth="1"/>
    <col min="33" max="33" width="12.125" style="1" bestFit="1" customWidth="1"/>
    <col min="34" max="34" width="11.5" style="1" bestFit="1" customWidth="1"/>
    <col min="35" max="35" width="9.75" style="1" bestFit="1" customWidth="1"/>
    <col min="36" max="36" width="9.25" style="1" bestFit="1" customWidth="1"/>
    <col min="37" max="37" width="6.375" style="1" bestFit="1" customWidth="1"/>
    <col min="38" max="38" width="5.875" style="1" bestFit="1" customWidth="1"/>
    <col min="39" max="39" width="6.375" style="1" bestFit="1" customWidth="1"/>
    <col min="40" max="40" width="5.875" style="1" bestFit="1" customWidth="1"/>
    <col min="41" max="42" width="10.5" style="1" bestFit="1" customWidth="1"/>
    <col min="43" max="43" width="11.25" style="1" bestFit="1" customWidth="1"/>
    <col min="44" max="44" width="10.5" style="1" bestFit="1" customWidth="1"/>
    <col min="45" max="45" width="11.75" style="1" bestFit="1" customWidth="1"/>
    <col min="46" max="47" width="12.875" style="1" bestFit="1" customWidth="1"/>
    <col min="48" max="48" width="12.625" style="1" bestFit="1" customWidth="1"/>
    <col min="49" max="49" width="9.125" style="1" bestFit="1" customWidth="1"/>
    <col min="50" max="50" width="13" style="1" bestFit="1" customWidth="1"/>
    <col min="51" max="51" width="10.125" style="1" bestFit="1" customWidth="1"/>
    <col min="52" max="52" width="7.25" style="1" bestFit="1" customWidth="1"/>
    <col min="53" max="53" width="6.75" style="1" bestFit="1" customWidth="1"/>
    <col min="54" max="54" width="29.125" style="1" bestFit="1" customWidth="1"/>
    <col min="55" max="55" width="34.375" style="1" bestFit="1" customWidth="1"/>
    <col min="56" max="56" width="6.25" style="1" bestFit="1" customWidth="1"/>
    <col min="57" max="57" width="7.75" style="1" bestFit="1" customWidth="1"/>
    <col min="58" max="58" width="9.5" style="1" bestFit="1" customWidth="1"/>
    <col min="59" max="59" width="11.75" style="1" bestFit="1" customWidth="1"/>
    <col min="60" max="60" width="9.5" style="1" bestFit="1" customWidth="1"/>
    <col min="61" max="61" width="12.125" style="1" bestFit="1" customWidth="1"/>
    <col min="62" max="62" width="6" style="1" bestFit="1" customWidth="1"/>
    <col min="63" max="16384" width="14.375" style="1"/>
  </cols>
  <sheetData>
    <row r="1" spans="1:61">
      <c r="A1" s="2"/>
      <c r="B1" s="2"/>
    </row>
    <row r="2" spans="1:61" s="3" customFormat="1" ht="12" customHeight="1">
      <c r="A2" s="4" t="s">
        <v>0</v>
      </c>
      <c r="B2" s="33" t="s">
        <v>154</v>
      </c>
      <c r="C2" s="1"/>
      <c r="D2" s="5"/>
      <c r="E2" s="6"/>
      <c r="F2" s="6"/>
    </row>
    <row r="3" spans="1:61" s="3" customFormat="1" ht="12" customHeight="1">
      <c r="A3" s="4" t="s">
        <v>1</v>
      </c>
      <c r="B3" s="32" t="s">
        <v>153</v>
      </c>
      <c r="D3" s="5"/>
      <c r="E3" s="6"/>
      <c r="F3" s="6"/>
      <c r="G3" s="7"/>
      <c r="H3" s="7"/>
      <c r="I3" s="7"/>
    </row>
    <row r="4" spans="1:61" s="3" customFormat="1" ht="12" customHeight="1">
      <c r="A4" s="19" t="s">
        <v>2</v>
      </c>
      <c r="B4" s="19" t="s">
        <v>16</v>
      </c>
      <c r="D4" s="5"/>
      <c r="E4" s="6"/>
      <c r="F4" s="6"/>
      <c r="G4" s="8"/>
      <c r="H4" s="8"/>
      <c r="I4" s="8"/>
    </row>
    <row r="5" spans="1:61" s="3" customFormat="1" ht="12" customHeight="1">
      <c r="A5" s="19"/>
      <c r="B5" s="19"/>
      <c r="D5" s="5"/>
      <c r="E5" s="6"/>
      <c r="F5" s="6"/>
    </row>
    <row r="6" spans="1:61" s="3" customFormat="1" ht="12" customHeight="1">
      <c r="A6" s="20" t="s">
        <v>12</v>
      </c>
      <c r="B6" s="21" t="str">
        <f>"WHERE APPNO IN ('"&amp; 入力シート!G11&amp; "','"&amp; 入力シート!G15&amp; "')"</f>
        <v>WHERE APPNO IN ('ZZZZZ01614005','ZZZZZ01614007')</v>
      </c>
      <c r="D6" s="5"/>
      <c r="E6" s="6"/>
      <c r="F6" s="6"/>
    </row>
    <row r="7" spans="1:61" s="3" customFormat="1" ht="12" customHeight="1">
      <c r="A7" s="22" t="s">
        <v>13</v>
      </c>
      <c r="B7" s="22" t="s">
        <v>17</v>
      </c>
      <c r="D7" s="5"/>
      <c r="E7" s="6"/>
      <c r="F7" s="6"/>
    </row>
    <row r="8" spans="1:61" s="3" customFormat="1" ht="12" customHeight="1">
      <c r="A8" s="19"/>
      <c r="B8" s="19"/>
      <c r="D8" s="5"/>
      <c r="E8" s="6"/>
      <c r="F8" s="6"/>
    </row>
    <row r="9" spans="1:61" s="3" customFormat="1" ht="12" customHeight="1">
      <c r="A9" s="25"/>
      <c r="B9" s="25"/>
      <c r="D9" s="5"/>
      <c r="E9" s="6"/>
      <c r="F9" s="6"/>
    </row>
    <row r="10" spans="1:61">
      <c r="A10" s="26" t="s">
        <v>127</v>
      </c>
      <c r="B10" s="26" t="s">
        <v>128</v>
      </c>
      <c r="C10" s="26" t="s">
        <v>129</v>
      </c>
      <c r="D10" s="26" t="s">
        <v>130</v>
      </c>
      <c r="E10" s="27" t="s">
        <v>131</v>
      </c>
      <c r="F10" s="27" t="s">
        <v>132</v>
      </c>
      <c r="G10" s="27" t="s">
        <v>133</v>
      </c>
      <c r="H10" s="27" t="s">
        <v>134</v>
      </c>
      <c r="I10" s="27" t="s">
        <v>135</v>
      </c>
      <c r="J10" s="27" t="s">
        <v>136</v>
      </c>
      <c r="K10" s="27" t="s">
        <v>137</v>
      </c>
      <c r="L10" s="26" t="s">
        <v>138</v>
      </c>
      <c r="M10" s="27" t="s">
        <v>139</v>
      </c>
      <c r="BG10" s="2"/>
      <c r="BI10" s="2"/>
    </row>
    <row r="11" spans="1:61">
      <c r="A11" s="27" t="s">
        <v>140</v>
      </c>
      <c r="B11" s="27" t="s">
        <v>141</v>
      </c>
      <c r="C11" s="27" t="s">
        <v>142</v>
      </c>
      <c r="D11" s="27" t="s">
        <v>143</v>
      </c>
      <c r="E11" s="27" t="s">
        <v>144</v>
      </c>
      <c r="F11" s="27" t="s">
        <v>145</v>
      </c>
      <c r="G11" s="27" t="s">
        <v>146</v>
      </c>
      <c r="H11" s="27" t="s">
        <v>147</v>
      </c>
      <c r="I11" s="27" t="s">
        <v>148</v>
      </c>
      <c r="J11" s="27" t="s">
        <v>149</v>
      </c>
      <c r="K11" s="27" t="s">
        <v>150</v>
      </c>
      <c r="L11" s="27" t="s">
        <v>151</v>
      </c>
      <c r="M11" s="27" t="s">
        <v>152</v>
      </c>
    </row>
    <row r="12" spans="1:61">
      <c r="A12" s="28" t="s">
        <v>42</v>
      </c>
      <c r="B12" s="23" t="s">
        <v>43</v>
      </c>
      <c r="C12" s="29">
        <v>1</v>
      </c>
      <c r="D12" s="30" t="s">
        <v>44</v>
      </c>
      <c r="E12" s="24" t="s">
        <v>45</v>
      </c>
      <c r="F12" s="24" t="s">
        <v>45</v>
      </c>
      <c r="G12" s="24"/>
      <c r="H12" s="24"/>
      <c r="I12" s="24"/>
      <c r="J12" s="24"/>
      <c r="K12" s="24"/>
      <c r="L12" s="24"/>
      <c r="M12" s="24"/>
      <c r="AS12" s="2"/>
      <c r="AU12" s="2"/>
      <c r="AW12" s="2"/>
    </row>
    <row r="13" spans="1:61">
      <c r="A13" s="28" t="s">
        <v>42</v>
      </c>
      <c r="B13" s="23" t="s">
        <v>43</v>
      </c>
      <c r="C13" s="29">
        <v>2</v>
      </c>
      <c r="D13" s="30" t="s">
        <v>30</v>
      </c>
      <c r="E13" s="24" t="s">
        <v>46</v>
      </c>
      <c r="F13" s="24" t="s">
        <v>46</v>
      </c>
      <c r="G13" s="24"/>
      <c r="H13" s="24"/>
      <c r="I13" s="24"/>
      <c r="J13" s="24"/>
      <c r="K13" s="24"/>
      <c r="L13" s="24"/>
      <c r="M13" s="24"/>
      <c r="AU13" s="2"/>
      <c r="AW13" s="2"/>
    </row>
    <row r="14" spans="1:61">
      <c r="A14" s="28" t="s">
        <v>42</v>
      </c>
      <c r="B14" s="23" t="s">
        <v>43</v>
      </c>
      <c r="C14" s="29">
        <v>3</v>
      </c>
      <c r="D14" s="30" t="s">
        <v>29</v>
      </c>
      <c r="E14" s="24" t="s">
        <v>47</v>
      </c>
      <c r="F14" s="24" t="s">
        <v>47</v>
      </c>
      <c r="G14" s="24"/>
      <c r="H14" s="24"/>
      <c r="I14" s="24"/>
      <c r="J14" s="24"/>
      <c r="K14" s="24"/>
      <c r="L14" s="24"/>
      <c r="M14" s="24"/>
      <c r="AS14" s="2"/>
      <c r="AU14" s="2"/>
      <c r="AW14" s="2"/>
    </row>
    <row r="15" spans="1:61">
      <c r="A15" s="28" t="s">
        <v>42</v>
      </c>
      <c r="B15" s="23" t="s">
        <v>43</v>
      </c>
      <c r="C15" s="29">
        <v>4</v>
      </c>
      <c r="D15" s="30" t="s">
        <v>48</v>
      </c>
      <c r="E15" s="24" t="s">
        <v>49</v>
      </c>
      <c r="F15" s="24" t="s">
        <v>49</v>
      </c>
      <c r="G15" s="24"/>
      <c r="H15" s="24"/>
      <c r="I15" s="24"/>
      <c r="J15" s="24"/>
      <c r="K15" s="24"/>
      <c r="L15" s="24"/>
      <c r="M15" s="24"/>
      <c r="AU15" s="2"/>
      <c r="AW15" s="2"/>
    </row>
    <row r="16" spans="1:61">
      <c r="A16" s="28" t="s">
        <v>42</v>
      </c>
      <c r="B16" s="23" t="s">
        <v>43</v>
      </c>
      <c r="C16" s="29">
        <v>5</v>
      </c>
      <c r="D16" s="30" t="s">
        <v>50</v>
      </c>
      <c r="E16" s="24" t="s">
        <v>51</v>
      </c>
      <c r="F16" s="24" t="s">
        <v>51</v>
      </c>
      <c r="G16" s="24"/>
      <c r="H16" s="24"/>
      <c r="I16" s="24"/>
      <c r="J16" s="24"/>
      <c r="K16" s="24"/>
      <c r="L16" s="24"/>
      <c r="M16" s="24"/>
      <c r="AS16" s="2"/>
      <c r="AU16" s="2"/>
      <c r="AW16" s="2"/>
    </row>
    <row r="17" spans="1:13">
      <c r="A17" s="28" t="s">
        <v>52</v>
      </c>
      <c r="B17" s="23" t="s">
        <v>53</v>
      </c>
      <c r="C17" s="29">
        <v>1</v>
      </c>
      <c r="D17" s="30" t="s">
        <v>44</v>
      </c>
      <c r="E17" s="24" t="s">
        <v>54</v>
      </c>
      <c r="F17" s="24" t="s">
        <v>54</v>
      </c>
      <c r="G17" s="24"/>
      <c r="H17" s="24"/>
      <c r="I17" s="24"/>
      <c r="J17" s="24"/>
      <c r="K17" s="24"/>
      <c r="L17" s="24"/>
      <c r="M17" s="24"/>
    </row>
    <row r="18" spans="1:13">
      <c r="A18" s="28" t="s">
        <v>55</v>
      </c>
      <c r="B18" s="23" t="s">
        <v>53</v>
      </c>
      <c r="C18" s="29">
        <v>2</v>
      </c>
      <c r="D18" s="30" t="s">
        <v>100</v>
      </c>
      <c r="E18" s="24" t="s">
        <v>101</v>
      </c>
      <c r="F18" s="24" t="s">
        <v>101</v>
      </c>
      <c r="G18" s="24"/>
      <c r="H18" s="24"/>
      <c r="I18" s="24"/>
      <c r="J18" s="24"/>
      <c r="K18" s="24"/>
      <c r="L18" s="24"/>
      <c r="M18" s="24"/>
    </row>
    <row r="19" spans="1:13">
      <c r="A19" s="28" t="s">
        <v>102</v>
      </c>
      <c r="B19" s="23" t="s">
        <v>56</v>
      </c>
      <c r="C19" s="29">
        <v>1</v>
      </c>
      <c r="D19" s="30" t="s">
        <v>44</v>
      </c>
      <c r="E19" s="24" t="s">
        <v>54</v>
      </c>
      <c r="F19" s="24" t="s">
        <v>54</v>
      </c>
      <c r="G19" s="24"/>
      <c r="H19" s="24"/>
      <c r="I19" s="24"/>
      <c r="J19" s="24"/>
      <c r="K19" s="24"/>
      <c r="L19" s="24"/>
      <c r="M19" s="24"/>
    </row>
    <row r="20" spans="1:13">
      <c r="A20" s="28" t="s">
        <v>102</v>
      </c>
      <c r="B20" s="23" t="s">
        <v>56</v>
      </c>
      <c r="C20" s="29">
        <v>2</v>
      </c>
      <c r="D20" s="30" t="s">
        <v>100</v>
      </c>
      <c r="E20" s="24" t="s">
        <v>101</v>
      </c>
      <c r="F20" s="24" t="s">
        <v>101</v>
      </c>
      <c r="G20" s="24"/>
      <c r="H20" s="24"/>
      <c r="I20" s="24"/>
      <c r="J20" s="24"/>
      <c r="K20" s="24"/>
      <c r="L20" s="24"/>
      <c r="M20" s="24"/>
    </row>
    <row r="21" spans="1:13">
      <c r="A21" s="28" t="s">
        <v>103</v>
      </c>
      <c r="B21" s="23" t="s">
        <v>57</v>
      </c>
      <c r="C21" s="29">
        <v>1</v>
      </c>
      <c r="D21" s="30" t="s">
        <v>44</v>
      </c>
      <c r="E21" s="24" t="s">
        <v>45</v>
      </c>
      <c r="F21" s="24" t="s">
        <v>45</v>
      </c>
      <c r="G21" s="24"/>
      <c r="H21" s="24"/>
      <c r="I21" s="24"/>
      <c r="J21" s="24"/>
      <c r="K21" s="24"/>
      <c r="L21" s="24"/>
      <c r="M21" s="24"/>
    </row>
    <row r="22" spans="1:13">
      <c r="A22" s="28" t="s">
        <v>58</v>
      </c>
      <c r="B22" s="23" t="s">
        <v>57</v>
      </c>
      <c r="C22" s="29">
        <v>2</v>
      </c>
      <c r="D22" s="30" t="s">
        <v>30</v>
      </c>
      <c r="E22" s="24" t="s">
        <v>46</v>
      </c>
      <c r="F22" s="24" t="s">
        <v>46</v>
      </c>
      <c r="G22" s="24"/>
      <c r="H22" s="24"/>
      <c r="I22" s="24"/>
      <c r="J22" s="24"/>
      <c r="K22" s="24"/>
      <c r="L22" s="24"/>
      <c r="M22" s="24"/>
    </row>
    <row r="23" spans="1:13">
      <c r="A23" s="28" t="s">
        <v>104</v>
      </c>
      <c r="B23" s="23" t="s">
        <v>59</v>
      </c>
      <c r="C23" s="29">
        <v>1</v>
      </c>
      <c r="D23" s="30" t="s">
        <v>44</v>
      </c>
      <c r="E23" s="24" t="s">
        <v>54</v>
      </c>
      <c r="F23" s="24" t="s">
        <v>54</v>
      </c>
      <c r="G23" s="24"/>
      <c r="H23" s="24"/>
      <c r="I23" s="24"/>
      <c r="J23" s="24"/>
      <c r="K23" s="24"/>
      <c r="L23" s="24"/>
      <c r="M23" s="24"/>
    </row>
    <row r="24" spans="1:13">
      <c r="A24" s="28" t="s">
        <v>104</v>
      </c>
      <c r="B24" s="23" t="s">
        <v>59</v>
      </c>
      <c r="C24" s="29">
        <v>2</v>
      </c>
      <c r="D24" s="30" t="s">
        <v>30</v>
      </c>
      <c r="E24" s="24" t="s">
        <v>101</v>
      </c>
      <c r="F24" s="24" t="s">
        <v>101</v>
      </c>
      <c r="G24" s="24"/>
      <c r="H24" s="24"/>
      <c r="I24" s="24"/>
      <c r="J24" s="24"/>
      <c r="K24" s="24"/>
      <c r="L24" s="24"/>
      <c r="M24" s="24"/>
    </row>
    <row r="25" spans="1:13">
      <c r="A25" s="28" t="s">
        <v>105</v>
      </c>
      <c r="B25" s="23" t="s">
        <v>60</v>
      </c>
      <c r="C25" s="29">
        <v>1</v>
      </c>
      <c r="D25" s="30" t="s">
        <v>44</v>
      </c>
      <c r="E25" s="24" t="s">
        <v>54</v>
      </c>
      <c r="F25" s="24" t="s">
        <v>54</v>
      </c>
      <c r="G25" s="24"/>
      <c r="H25" s="24"/>
      <c r="I25" s="24"/>
      <c r="J25" s="24"/>
      <c r="K25" s="24"/>
      <c r="L25" s="24"/>
      <c r="M25" s="24"/>
    </row>
    <row r="26" spans="1:13">
      <c r="A26" s="28" t="s">
        <v>105</v>
      </c>
      <c r="B26" s="23" t="s">
        <v>60</v>
      </c>
      <c r="C26" s="29">
        <v>2</v>
      </c>
      <c r="D26" s="30" t="s">
        <v>100</v>
      </c>
      <c r="E26" s="24" t="s">
        <v>101</v>
      </c>
      <c r="F26" s="24" t="s">
        <v>101</v>
      </c>
      <c r="G26" s="24"/>
      <c r="H26" s="24"/>
      <c r="I26" s="24"/>
      <c r="J26" s="24"/>
      <c r="K26" s="24"/>
      <c r="L26" s="24"/>
      <c r="M26" s="24"/>
    </row>
    <row r="27" spans="1:13">
      <c r="A27" s="28" t="s">
        <v>106</v>
      </c>
      <c r="B27" s="23" t="s">
        <v>61</v>
      </c>
      <c r="C27" s="29">
        <v>1</v>
      </c>
      <c r="D27" s="30" t="s">
        <v>44</v>
      </c>
      <c r="E27" s="24" t="s">
        <v>62</v>
      </c>
      <c r="F27" s="24" t="s">
        <v>62</v>
      </c>
      <c r="G27" s="24"/>
      <c r="H27" s="24"/>
      <c r="I27" s="24"/>
      <c r="J27" s="24"/>
      <c r="K27" s="24"/>
      <c r="L27" s="24"/>
      <c r="M27" s="24"/>
    </row>
    <row r="28" spans="1:13">
      <c r="A28" s="28" t="s">
        <v>106</v>
      </c>
      <c r="B28" s="23" t="s">
        <v>61</v>
      </c>
      <c r="C28" s="29">
        <v>2</v>
      </c>
      <c r="D28" s="30" t="s">
        <v>30</v>
      </c>
      <c r="E28" s="24" t="s">
        <v>63</v>
      </c>
      <c r="F28" s="24" t="s">
        <v>63</v>
      </c>
      <c r="G28" s="24"/>
      <c r="H28" s="24"/>
      <c r="I28" s="24"/>
      <c r="J28" s="24"/>
      <c r="K28" s="24"/>
      <c r="L28" s="24"/>
      <c r="M28" s="24"/>
    </row>
    <row r="29" spans="1:13">
      <c r="A29" s="28" t="s">
        <v>106</v>
      </c>
      <c r="B29" s="23" t="s">
        <v>61</v>
      </c>
      <c r="C29" s="29">
        <v>3</v>
      </c>
      <c r="D29" s="30" t="s">
        <v>29</v>
      </c>
      <c r="E29" s="24" t="s">
        <v>64</v>
      </c>
      <c r="F29" s="24" t="s">
        <v>64</v>
      </c>
      <c r="G29" s="24"/>
      <c r="H29" s="24"/>
      <c r="I29" s="24"/>
      <c r="J29" s="24"/>
      <c r="K29" s="24"/>
      <c r="L29" s="24"/>
      <c r="M29" s="24"/>
    </row>
    <row r="30" spans="1:13">
      <c r="A30" s="28" t="s">
        <v>107</v>
      </c>
      <c r="B30" s="23" t="s">
        <v>65</v>
      </c>
      <c r="C30" s="29">
        <v>1</v>
      </c>
      <c r="D30" s="30" t="s">
        <v>44</v>
      </c>
      <c r="E30" s="24" t="s">
        <v>54</v>
      </c>
      <c r="F30" s="24" t="s">
        <v>54</v>
      </c>
      <c r="G30" s="24"/>
      <c r="H30" s="24"/>
      <c r="I30" s="24"/>
      <c r="J30" s="24"/>
      <c r="K30" s="24"/>
      <c r="L30" s="24"/>
      <c r="M30" s="24"/>
    </row>
    <row r="31" spans="1:13">
      <c r="A31" s="28" t="s">
        <v>107</v>
      </c>
      <c r="B31" s="23" t="s">
        <v>65</v>
      </c>
      <c r="C31" s="29">
        <v>2</v>
      </c>
      <c r="D31" s="30" t="s">
        <v>30</v>
      </c>
      <c r="E31" s="24" t="s">
        <v>101</v>
      </c>
      <c r="F31" s="24" t="s">
        <v>101</v>
      </c>
      <c r="G31" s="24"/>
      <c r="H31" s="24"/>
      <c r="I31" s="24"/>
      <c r="J31" s="24"/>
      <c r="K31" s="24"/>
      <c r="L31" s="24"/>
      <c r="M31" s="24"/>
    </row>
    <row r="32" spans="1:13">
      <c r="A32" s="28" t="s">
        <v>108</v>
      </c>
      <c r="B32" s="23" t="s">
        <v>66</v>
      </c>
      <c r="C32" s="29">
        <v>1</v>
      </c>
      <c r="D32" s="30" t="s">
        <v>44</v>
      </c>
      <c r="E32" s="24" t="s">
        <v>67</v>
      </c>
      <c r="F32" s="24" t="s">
        <v>67</v>
      </c>
      <c r="G32" s="24"/>
      <c r="H32" s="24"/>
      <c r="I32" s="24"/>
      <c r="J32" s="24"/>
      <c r="K32" s="24"/>
      <c r="L32" s="24"/>
      <c r="M32" s="24"/>
    </row>
    <row r="33" spans="1:13">
      <c r="A33" s="28" t="s">
        <v>108</v>
      </c>
      <c r="B33" s="23" t="s">
        <v>66</v>
      </c>
      <c r="C33" s="29">
        <v>2</v>
      </c>
      <c r="D33" s="30" t="s">
        <v>100</v>
      </c>
      <c r="E33" s="24" t="s">
        <v>109</v>
      </c>
      <c r="F33" s="24" t="s">
        <v>109</v>
      </c>
      <c r="G33" s="24"/>
      <c r="H33" s="24"/>
      <c r="I33" s="24"/>
      <c r="J33" s="24"/>
      <c r="K33" s="24"/>
      <c r="L33" s="24"/>
      <c r="M33" s="24"/>
    </row>
    <row r="34" spans="1:13">
      <c r="A34" s="28" t="s">
        <v>108</v>
      </c>
      <c r="B34" s="23" t="s">
        <v>66</v>
      </c>
      <c r="C34" s="29">
        <v>3</v>
      </c>
      <c r="D34" s="30" t="s">
        <v>110</v>
      </c>
      <c r="E34" s="24" t="s">
        <v>111</v>
      </c>
      <c r="F34" s="24" t="s">
        <v>111</v>
      </c>
      <c r="G34" s="24"/>
      <c r="H34" s="24"/>
      <c r="I34" s="24"/>
      <c r="J34" s="24"/>
      <c r="K34" s="24"/>
      <c r="L34" s="24"/>
      <c r="M34" s="24"/>
    </row>
    <row r="35" spans="1:13">
      <c r="A35" s="28" t="s">
        <v>108</v>
      </c>
      <c r="B35" s="23" t="s">
        <v>66</v>
      </c>
      <c r="C35" s="29">
        <v>4</v>
      </c>
      <c r="D35" s="30" t="s">
        <v>112</v>
      </c>
      <c r="E35" s="24" t="s">
        <v>113</v>
      </c>
      <c r="F35" s="24" t="s">
        <v>113</v>
      </c>
      <c r="G35" s="24"/>
      <c r="H35" s="24"/>
      <c r="I35" s="24"/>
      <c r="J35" s="24"/>
      <c r="K35" s="24"/>
      <c r="L35" s="24"/>
      <c r="M35" s="24"/>
    </row>
    <row r="36" spans="1:13">
      <c r="A36" s="28" t="s">
        <v>114</v>
      </c>
      <c r="B36" s="23" t="s">
        <v>68</v>
      </c>
      <c r="C36" s="29">
        <v>1</v>
      </c>
      <c r="D36" s="30" t="s">
        <v>44</v>
      </c>
      <c r="E36" s="24" t="s">
        <v>62</v>
      </c>
      <c r="F36" s="24" t="s">
        <v>62</v>
      </c>
      <c r="G36" s="24"/>
      <c r="H36" s="24"/>
      <c r="I36" s="24"/>
      <c r="J36" s="24"/>
      <c r="K36" s="24"/>
      <c r="L36" s="24"/>
      <c r="M36" s="24"/>
    </row>
    <row r="37" spans="1:13">
      <c r="A37" s="28" t="s">
        <v>114</v>
      </c>
      <c r="B37" s="23" t="s">
        <v>68</v>
      </c>
      <c r="C37" s="29">
        <v>2</v>
      </c>
      <c r="D37" s="30" t="s">
        <v>100</v>
      </c>
      <c r="E37" s="24" t="s">
        <v>69</v>
      </c>
      <c r="F37" s="24" t="s">
        <v>69</v>
      </c>
      <c r="G37" s="24"/>
      <c r="H37" s="24"/>
      <c r="I37" s="24"/>
      <c r="J37" s="24"/>
      <c r="K37" s="24"/>
      <c r="L37" s="24"/>
      <c r="M37" s="24"/>
    </row>
    <row r="38" spans="1:13">
      <c r="A38" s="28" t="s">
        <v>114</v>
      </c>
      <c r="B38" s="23" t="s">
        <v>68</v>
      </c>
      <c r="C38" s="29">
        <v>3</v>
      </c>
      <c r="D38" s="30" t="s">
        <v>110</v>
      </c>
      <c r="E38" s="24" t="s">
        <v>70</v>
      </c>
      <c r="F38" s="24" t="s">
        <v>70</v>
      </c>
      <c r="G38" s="24"/>
      <c r="H38" s="24"/>
      <c r="I38" s="24"/>
      <c r="J38" s="24"/>
      <c r="K38" s="24"/>
      <c r="L38" s="24"/>
      <c r="M38" s="24"/>
    </row>
    <row r="39" spans="1:13">
      <c r="A39" s="28" t="s">
        <v>114</v>
      </c>
      <c r="B39" s="23" t="s">
        <v>68</v>
      </c>
      <c r="C39" s="29">
        <v>4</v>
      </c>
      <c r="D39" s="30" t="s">
        <v>112</v>
      </c>
      <c r="E39" s="24" t="s">
        <v>115</v>
      </c>
      <c r="F39" s="24" t="s">
        <v>115</v>
      </c>
      <c r="G39" s="24"/>
      <c r="H39" s="24"/>
      <c r="I39" s="24"/>
      <c r="J39" s="24"/>
      <c r="K39" s="24"/>
      <c r="L39" s="24"/>
      <c r="M39" s="24"/>
    </row>
    <row r="40" spans="1:13">
      <c r="A40" s="28" t="s">
        <v>116</v>
      </c>
      <c r="B40" s="23" t="s">
        <v>71</v>
      </c>
      <c r="C40" s="29">
        <v>1</v>
      </c>
      <c r="D40" s="30" t="s">
        <v>44</v>
      </c>
      <c r="E40" s="24" t="s">
        <v>72</v>
      </c>
      <c r="F40" s="24" t="s">
        <v>72</v>
      </c>
      <c r="G40" s="24"/>
      <c r="H40" s="24"/>
      <c r="I40" s="24"/>
      <c r="J40" s="24"/>
      <c r="K40" s="24"/>
      <c r="L40" s="24"/>
      <c r="M40" s="24"/>
    </row>
    <row r="41" spans="1:13">
      <c r="A41" s="28" t="s">
        <v>116</v>
      </c>
      <c r="B41" s="23" t="s">
        <v>71</v>
      </c>
      <c r="C41" s="29">
        <v>2</v>
      </c>
      <c r="D41" s="30" t="s">
        <v>100</v>
      </c>
      <c r="E41" s="24" t="s">
        <v>73</v>
      </c>
      <c r="F41" s="24" t="s">
        <v>73</v>
      </c>
      <c r="G41" s="24"/>
      <c r="H41" s="24"/>
      <c r="I41" s="24"/>
      <c r="J41" s="24"/>
      <c r="K41" s="24"/>
      <c r="L41" s="24"/>
      <c r="M41" s="24"/>
    </row>
    <row r="42" spans="1:13">
      <c r="A42" s="28" t="s">
        <v>116</v>
      </c>
      <c r="B42" s="23" t="s">
        <v>71</v>
      </c>
      <c r="C42" s="29">
        <v>3</v>
      </c>
      <c r="D42" s="30" t="s">
        <v>110</v>
      </c>
      <c r="E42" s="24" t="s">
        <v>74</v>
      </c>
      <c r="F42" s="24" t="s">
        <v>74</v>
      </c>
      <c r="G42" s="24"/>
      <c r="H42" s="24"/>
      <c r="I42" s="24"/>
      <c r="J42" s="24"/>
      <c r="K42" s="24"/>
      <c r="L42" s="24"/>
      <c r="M42" s="24"/>
    </row>
    <row r="43" spans="1:13">
      <c r="A43" s="28" t="s">
        <v>116</v>
      </c>
      <c r="B43" s="23" t="s">
        <v>71</v>
      </c>
      <c r="C43" s="29">
        <v>4</v>
      </c>
      <c r="D43" s="30" t="s">
        <v>112</v>
      </c>
      <c r="E43" s="24" t="s">
        <v>113</v>
      </c>
      <c r="F43" s="24" t="s">
        <v>113</v>
      </c>
      <c r="G43" s="24"/>
      <c r="H43" s="24"/>
      <c r="I43" s="24"/>
      <c r="J43" s="24"/>
      <c r="K43" s="24"/>
      <c r="L43" s="24"/>
      <c r="M43" s="24"/>
    </row>
    <row r="44" spans="1:13">
      <c r="A44" s="28" t="s">
        <v>117</v>
      </c>
      <c r="B44" s="23" t="s">
        <v>75</v>
      </c>
      <c r="C44" s="29">
        <v>1</v>
      </c>
      <c r="D44" s="30" t="s">
        <v>44</v>
      </c>
      <c r="E44" s="24" t="s">
        <v>76</v>
      </c>
      <c r="F44" s="24" t="s">
        <v>76</v>
      </c>
      <c r="G44" s="24"/>
      <c r="H44" s="24"/>
      <c r="I44" s="24"/>
      <c r="J44" s="24"/>
      <c r="K44" s="24"/>
      <c r="L44" s="24"/>
      <c r="M44" s="24"/>
    </row>
    <row r="45" spans="1:13">
      <c r="A45" s="28" t="s">
        <v>117</v>
      </c>
      <c r="B45" s="23" t="s">
        <v>75</v>
      </c>
      <c r="C45" s="29">
        <v>2</v>
      </c>
      <c r="D45" s="30" t="s">
        <v>100</v>
      </c>
      <c r="E45" s="24" t="s">
        <v>77</v>
      </c>
      <c r="F45" s="24" t="s">
        <v>77</v>
      </c>
      <c r="G45" s="24"/>
      <c r="H45" s="24"/>
      <c r="I45" s="24"/>
      <c r="J45" s="24"/>
      <c r="K45" s="24"/>
      <c r="L45" s="24"/>
      <c r="M45" s="24"/>
    </row>
    <row r="46" spans="1:13">
      <c r="A46" s="28" t="s">
        <v>117</v>
      </c>
      <c r="B46" s="23" t="s">
        <v>75</v>
      </c>
      <c r="C46" s="29">
        <v>3</v>
      </c>
      <c r="D46" s="30" t="s">
        <v>112</v>
      </c>
      <c r="E46" s="24" t="s">
        <v>113</v>
      </c>
      <c r="F46" s="24" t="s">
        <v>113</v>
      </c>
      <c r="G46" s="24"/>
      <c r="H46" s="24"/>
      <c r="I46" s="24"/>
      <c r="J46" s="24"/>
      <c r="K46" s="24"/>
      <c r="L46" s="24"/>
      <c r="M46" s="24"/>
    </row>
    <row r="47" spans="1:13">
      <c r="A47" s="28" t="s">
        <v>118</v>
      </c>
      <c r="B47" s="23" t="s">
        <v>78</v>
      </c>
      <c r="C47" s="29">
        <v>1</v>
      </c>
      <c r="D47" s="30" t="s">
        <v>44</v>
      </c>
      <c r="E47" s="24" t="s">
        <v>119</v>
      </c>
      <c r="F47" s="24" t="s">
        <v>119</v>
      </c>
      <c r="G47" s="24"/>
      <c r="H47" s="24"/>
      <c r="I47" s="24"/>
      <c r="J47" s="24"/>
      <c r="K47" s="24"/>
      <c r="L47" s="24"/>
      <c r="M47" s="24"/>
    </row>
    <row r="48" spans="1:13">
      <c r="A48" s="28" t="s">
        <v>118</v>
      </c>
      <c r="B48" s="23" t="s">
        <v>78</v>
      </c>
      <c r="C48" s="29">
        <v>2</v>
      </c>
      <c r="D48" s="30" t="s">
        <v>100</v>
      </c>
      <c r="E48" s="24" t="s">
        <v>120</v>
      </c>
      <c r="F48" s="24" t="s">
        <v>120</v>
      </c>
      <c r="G48" s="24"/>
      <c r="H48" s="24"/>
      <c r="I48" s="24"/>
      <c r="J48" s="24"/>
      <c r="K48" s="24"/>
      <c r="L48" s="24"/>
      <c r="M48" s="24"/>
    </row>
    <row r="49" spans="1:13">
      <c r="A49" s="28" t="s">
        <v>118</v>
      </c>
      <c r="B49" s="23" t="s">
        <v>78</v>
      </c>
      <c r="C49" s="29">
        <v>3</v>
      </c>
      <c r="D49" s="30" t="s">
        <v>112</v>
      </c>
      <c r="E49" s="24" t="s">
        <v>113</v>
      </c>
      <c r="F49" s="24" t="s">
        <v>113</v>
      </c>
      <c r="G49" s="24"/>
      <c r="H49" s="24"/>
      <c r="I49" s="24"/>
      <c r="J49" s="24"/>
      <c r="K49" s="24"/>
      <c r="L49" s="24"/>
      <c r="M49" s="24"/>
    </row>
    <row r="50" spans="1:13">
      <c r="A50" s="28" t="s">
        <v>121</v>
      </c>
      <c r="B50" s="23" t="s">
        <v>79</v>
      </c>
      <c r="C50" s="29">
        <v>1</v>
      </c>
      <c r="D50" s="30" t="s">
        <v>44</v>
      </c>
      <c r="E50" s="24" t="s">
        <v>80</v>
      </c>
      <c r="F50" s="24" t="s">
        <v>80</v>
      </c>
      <c r="G50" s="24"/>
      <c r="H50" s="24"/>
      <c r="I50" s="24"/>
      <c r="J50" s="24"/>
      <c r="K50" s="24"/>
      <c r="L50" s="24"/>
      <c r="M50" s="24"/>
    </row>
    <row r="51" spans="1:13">
      <c r="A51" s="28" t="s">
        <v>121</v>
      </c>
      <c r="B51" s="23" t="s">
        <v>79</v>
      </c>
      <c r="C51" s="29">
        <v>2</v>
      </c>
      <c r="D51" s="30" t="s">
        <v>30</v>
      </c>
      <c r="E51" s="24" t="s">
        <v>81</v>
      </c>
      <c r="F51" s="24" t="s">
        <v>81</v>
      </c>
      <c r="G51" s="24"/>
      <c r="H51" s="24"/>
      <c r="I51" s="24"/>
      <c r="J51" s="24"/>
      <c r="K51" s="24"/>
      <c r="L51" s="24"/>
      <c r="M51" s="24"/>
    </row>
    <row r="52" spans="1:13">
      <c r="A52" s="28" t="s">
        <v>121</v>
      </c>
      <c r="B52" s="23" t="s">
        <v>79</v>
      </c>
      <c r="C52" s="29">
        <v>3</v>
      </c>
      <c r="D52" s="30" t="s">
        <v>110</v>
      </c>
      <c r="E52" s="24" t="s">
        <v>82</v>
      </c>
      <c r="F52" s="24" t="s">
        <v>82</v>
      </c>
      <c r="G52" s="24"/>
      <c r="H52" s="24"/>
      <c r="I52" s="24"/>
      <c r="J52" s="24"/>
      <c r="K52" s="24"/>
      <c r="L52" s="24"/>
      <c r="M52" s="24"/>
    </row>
    <row r="53" spans="1:13">
      <c r="A53" s="28" t="s">
        <v>122</v>
      </c>
      <c r="B53" s="23" t="s">
        <v>83</v>
      </c>
      <c r="C53" s="29">
        <v>1</v>
      </c>
      <c r="D53" s="30" t="s">
        <v>44</v>
      </c>
      <c r="E53" s="24" t="s">
        <v>84</v>
      </c>
      <c r="F53" s="24" t="s">
        <v>84</v>
      </c>
      <c r="G53" s="24"/>
      <c r="H53" s="24"/>
      <c r="I53" s="24"/>
      <c r="J53" s="24"/>
      <c r="K53" s="24"/>
      <c r="L53" s="24"/>
      <c r="M53" s="24"/>
    </row>
    <row r="54" spans="1:13">
      <c r="A54" s="28" t="s">
        <v>122</v>
      </c>
      <c r="B54" s="23" t="s">
        <v>83</v>
      </c>
      <c r="C54" s="29">
        <v>2</v>
      </c>
      <c r="D54" s="30" t="s">
        <v>30</v>
      </c>
      <c r="E54" s="24" t="s">
        <v>85</v>
      </c>
      <c r="F54" s="24" t="s">
        <v>85</v>
      </c>
      <c r="G54" s="24"/>
      <c r="H54" s="24"/>
      <c r="I54" s="24"/>
      <c r="J54" s="24"/>
      <c r="K54" s="24"/>
      <c r="L54" s="24"/>
      <c r="M54" s="24"/>
    </row>
    <row r="55" spans="1:13">
      <c r="A55" s="28" t="s">
        <v>122</v>
      </c>
      <c r="B55" s="23" t="s">
        <v>83</v>
      </c>
      <c r="C55" s="29">
        <v>3</v>
      </c>
      <c r="D55" s="30" t="s">
        <v>112</v>
      </c>
      <c r="E55" s="24" t="s">
        <v>113</v>
      </c>
      <c r="F55" s="24" t="s">
        <v>113</v>
      </c>
      <c r="G55" s="24"/>
      <c r="H55" s="24"/>
      <c r="I55" s="24"/>
      <c r="J55" s="24"/>
      <c r="K55" s="24"/>
      <c r="L55" s="24"/>
      <c r="M55" s="24"/>
    </row>
    <row r="56" spans="1:13">
      <c r="A56" s="28" t="s">
        <v>123</v>
      </c>
      <c r="B56" s="23" t="s">
        <v>86</v>
      </c>
      <c r="C56" s="29">
        <v>1</v>
      </c>
      <c r="D56" s="30" t="s">
        <v>124</v>
      </c>
      <c r="E56" s="24" t="s">
        <v>87</v>
      </c>
      <c r="F56" s="24" t="s">
        <v>87</v>
      </c>
      <c r="G56" s="31"/>
      <c r="H56" s="31"/>
      <c r="I56" s="31"/>
      <c r="J56" s="31"/>
      <c r="K56" s="31"/>
      <c r="L56" s="31"/>
      <c r="M56" s="31"/>
    </row>
    <row r="57" spans="1:13">
      <c r="A57" s="28" t="s">
        <v>123</v>
      </c>
      <c r="B57" s="23" t="s">
        <v>86</v>
      </c>
      <c r="C57" s="29">
        <v>2</v>
      </c>
      <c r="D57" s="30" t="s">
        <v>125</v>
      </c>
      <c r="E57" s="24" t="s">
        <v>88</v>
      </c>
      <c r="F57" s="24" t="s">
        <v>88</v>
      </c>
      <c r="G57" s="31"/>
      <c r="H57" s="31"/>
      <c r="I57" s="31"/>
      <c r="J57" s="31"/>
      <c r="K57" s="31"/>
      <c r="L57" s="31"/>
      <c r="M57" s="31"/>
    </row>
    <row r="58" spans="1:13">
      <c r="A58" s="28" t="s">
        <v>123</v>
      </c>
      <c r="B58" s="23" t="s">
        <v>86</v>
      </c>
      <c r="C58" s="29">
        <v>3</v>
      </c>
      <c r="D58" s="30" t="s">
        <v>126</v>
      </c>
      <c r="E58" s="24" t="s">
        <v>89</v>
      </c>
      <c r="F58" s="24" t="s">
        <v>89</v>
      </c>
      <c r="G58" s="31"/>
      <c r="H58" s="31"/>
      <c r="I58" s="31"/>
      <c r="J58" s="31"/>
      <c r="K58" s="31"/>
      <c r="L58" s="31"/>
      <c r="M58" s="31"/>
    </row>
    <row r="59" spans="1:13">
      <c r="A59" s="28" t="s">
        <v>167</v>
      </c>
      <c r="B59" s="23" t="s">
        <v>90</v>
      </c>
      <c r="C59" s="29">
        <v>1</v>
      </c>
      <c r="D59" s="30">
        <v>0</v>
      </c>
      <c r="E59" s="24" t="s">
        <v>91</v>
      </c>
      <c r="F59" s="24" t="s">
        <v>91</v>
      </c>
      <c r="G59" s="31"/>
      <c r="H59" s="31"/>
      <c r="I59" s="31"/>
      <c r="J59" s="31"/>
      <c r="K59" s="31"/>
      <c r="L59" s="31"/>
      <c r="M59" s="31"/>
    </row>
    <row r="60" spans="1:13">
      <c r="A60" s="28" t="s">
        <v>167</v>
      </c>
      <c r="B60" s="23" t="s">
        <v>90</v>
      </c>
      <c r="C60" s="29">
        <v>2</v>
      </c>
      <c r="D60" s="30">
        <v>1</v>
      </c>
      <c r="E60" s="24" t="s">
        <v>92</v>
      </c>
      <c r="F60" s="24" t="s">
        <v>92</v>
      </c>
      <c r="G60" s="31"/>
      <c r="H60" s="31"/>
      <c r="I60" s="31"/>
      <c r="J60" s="31"/>
      <c r="K60" s="31"/>
      <c r="L60" s="31"/>
      <c r="M60" s="31"/>
    </row>
    <row r="61" spans="1:13">
      <c r="A61" s="28" t="s">
        <v>93</v>
      </c>
      <c r="B61" s="23" t="s">
        <v>94</v>
      </c>
      <c r="C61" s="29">
        <v>1</v>
      </c>
      <c r="D61" s="30">
        <v>0</v>
      </c>
      <c r="E61" s="24" t="s">
        <v>95</v>
      </c>
      <c r="F61" s="24" t="s">
        <v>95</v>
      </c>
      <c r="G61" s="31"/>
      <c r="H61" s="31"/>
      <c r="I61" s="31"/>
      <c r="J61" s="31"/>
      <c r="K61" s="31"/>
      <c r="L61" s="31"/>
      <c r="M61" s="31"/>
    </row>
    <row r="62" spans="1:13">
      <c r="A62" s="28" t="s">
        <v>93</v>
      </c>
      <c r="B62" s="23" t="s">
        <v>94</v>
      </c>
      <c r="C62" s="29">
        <v>2</v>
      </c>
      <c r="D62" s="30">
        <v>1</v>
      </c>
      <c r="E62" s="24" t="s">
        <v>96</v>
      </c>
      <c r="F62" s="24" t="s">
        <v>96</v>
      </c>
      <c r="G62" s="31"/>
      <c r="H62" s="31"/>
      <c r="I62" s="31"/>
      <c r="J62" s="31"/>
      <c r="K62" s="31"/>
      <c r="L62" s="31"/>
      <c r="M62" s="31"/>
    </row>
    <row r="63" spans="1:13">
      <c r="A63" s="28" t="s">
        <v>97</v>
      </c>
      <c r="B63" s="23" t="s">
        <v>98</v>
      </c>
      <c r="C63" s="29">
        <v>1</v>
      </c>
      <c r="D63" s="30">
        <v>0</v>
      </c>
      <c r="E63" s="24" t="s">
        <v>99</v>
      </c>
      <c r="F63" s="24" t="s">
        <v>99</v>
      </c>
      <c r="G63" s="31"/>
      <c r="H63" s="31"/>
      <c r="I63" s="31"/>
      <c r="J63" s="31"/>
      <c r="K63" s="31"/>
      <c r="L63" s="31"/>
      <c r="M63" s="31"/>
    </row>
    <row r="64" spans="1:13">
      <c r="A64" s="28" t="s">
        <v>155</v>
      </c>
      <c r="B64" s="23" t="s">
        <v>156</v>
      </c>
      <c r="C64" s="29">
        <v>1</v>
      </c>
      <c r="D64" s="30">
        <v>1</v>
      </c>
      <c r="E64" s="24" t="s">
        <v>157</v>
      </c>
      <c r="F64" s="31" t="s">
        <v>157</v>
      </c>
      <c r="G64" s="31"/>
      <c r="H64" s="31"/>
      <c r="I64" s="31"/>
      <c r="J64" s="31"/>
      <c r="K64" s="31"/>
      <c r="L64" s="31"/>
      <c r="M64" s="31"/>
    </row>
    <row r="65" spans="1:13">
      <c r="A65" s="28" t="s">
        <v>155</v>
      </c>
      <c r="B65" s="23" t="s">
        <v>156</v>
      </c>
      <c r="C65" s="29">
        <v>2</v>
      </c>
      <c r="D65" s="30">
        <v>2</v>
      </c>
      <c r="E65" s="24" t="s">
        <v>158</v>
      </c>
      <c r="F65" s="31" t="s">
        <v>158</v>
      </c>
      <c r="G65" s="31"/>
      <c r="H65" s="31"/>
      <c r="I65" s="31"/>
      <c r="J65" s="31"/>
      <c r="K65" s="31"/>
      <c r="L65" s="31"/>
      <c r="M65" s="31"/>
    </row>
    <row r="66" spans="1:13">
      <c r="A66" s="28" t="s">
        <v>159</v>
      </c>
      <c r="B66" s="23" t="s">
        <v>160</v>
      </c>
      <c r="C66" s="29">
        <v>1</v>
      </c>
      <c r="D66" s="30">
        <v>1</v>
      </c>
      <c r="E66" s="24" t="s">
        <v>161</v>
      </c>
      <c r="F66" s="31" t="s">
        <v>161</v>
      </c>
      <c r="G66" s="31"/>
      <c r="H66" s="31"/>
      <c r="I66" s="31"/>
      <c r="J66" s="31"/>
      <c r="K66" s="31"/>
      <c r="L66" s="31"/>
      <c r="M66" s="31"/>
    </row>
    <row r="67" spans="1:13">
      <c r="A67" s="28" t="s">
        <v>159</v>
      </c>
      <c r="B67" s="23" t="s">
        <v>160</v>
      </c>
      <c r="C67" s="29">
        <v>2</v>
      </c>
      <c r="D67" s="30">
        <v>2</v>
      </c>
      <c r="E67" s="24" t="s">
        <v>162</v>
      </c>
      <c r="F67" s="31" t="s">
        <v>162</v>
      </c>
      <c r="G67" s="31"/>
      <c r="H67" s="31"/>
      <c r="I67" s="31"/>
      <c r="J67" s="31"/>
      <c r="K67" s="31"/>
      <c r="L67" s="31"/>
      <c r="M67" s="31"/>
    </row>
    <row r="68" spans="1:13">
      <c r="A68" s="28" t="s">
        <v>159</v>
      </c>
      <c r="B68" s="23" t="s">
        <v>160</v>
      </c>
      <c r="C68" s="29">
        <v>3</v>
      </c>
      <c r="D68" s="30">
        <v>3</v>
      </c>
      <c r="E68" s="24" t="s">
        <v>163</v>
      </c>
      <c r="F68" s="31" t="s">
        <v>163</v>
      </c>
      <c r="G68" s="31"/>
      <c r="H68" s="31"/>
      <c r="I68" s="31"/>
      <c r="J68" s="31"/>
      <c r="K68" s="31"/>
      <c r="L68" s="31"/>
      <c r="M68" s="31"/>
    </row>
    <row r="69" spans="1:13">
      <c r="A69" s="28" t="s">
        <v>159</v>
      </c>
      <c r="B69" s="23" t="s">
        <v>160</v>
      </c>
      <c r="C69" s="29">
        <v>4</v>
      </c>
      <c r="D69" s="30">
        <v>4</v>
      </c>
      <c r="E69" s="24" t="s">
        <v>164</v>
      </c>
      <c r="F69" s="31" t="s">
        <v>164</v>
      </c>
      <c r="G69" s="31"/>
      <c r="H69" s="31"/>
      <c r="I69" s="31"/>
      <c r="J69" s="31"/>
      <c r="K69" s="31"/>
      <c r="L69" s="31"/>
      <c r="M69" s="31"/>
    </row>
    <row r="70" spans="1:13">
      <c r="A70" s="28" t="s">
        <v>159</v>
      </c>
      <c r="B70" s="23" t="s">
        <v>160</v>
      </c>
      <c r="C70" s="29">
        <v>5</v>
      </c>
      <c r="D70" s="30">
        <v>5</v>
      </c>
      <c r="E70" s="24" t="s">
        <v>165</v>
      </c>
      <c r="F70" s="31" t="s">
        <v>166</v>
      </c>
      <c r="G70" s="31"/>
      <c r="H70" s="31"/>
      <c r="I70" s="31"/>
      <c r="J70" s="31"/>
      <c r="K70" s="31"/>
      <c r="L70" s="31"/>
      <c r="M70" s="31"/>
    </row>
    <row r="71" spans="1:13">
      <c r="A71" s="28"/>
      <c r="B71" s="23"/>
      <c r="C71" s="29"/>
      <c r="D71" s="30"/>
      <c r="E71" s="24"/>
      <c r="F71" s="31"/>
      <c r="G71" s="31"/>
      <c r="H71" s="31"/>
      <c r="I71" s="31"/>
      <c r="J71" s="31"/>
      <c r="K71" s="31"/>
      <c r="L71" s="31"/>
      <c r="M71" s="31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landscape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入力シート</vt:lpstr>
      <vt:lpstr>コードマスタ登録</vt:lpstr>
      <vt:lpstr>入力シート!Print_Area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 </cp:lastModifiedBy>
  <cp:lastPrinted>2008-04-22T01:42:13Z</cp:lastPrinted>
  <dcterms:created xsi:type="dcterms:W3CDTF">2002-11-15T00:00:34Z</dcterms:created>
  <dcterms:modified xsi:type="dcterms:W3CDTF">2014-07-30T17:30:54Z</dcterms:modified>
</cp:coreProperties>
</file>